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tklar\Desktop\study thangs\ITRW\"/>
    </mc:Choice>
  </mc:AlternateContent>
  <xr:revisionPtr revIDLastSave="0" documentId="13_ncr:1_{E0B8B8BF-0C23-471C-953F-FCFE237BB05E}" xr6:coauthVersionLast="47" xr6:coauthVersionMax="47" xr10:uidLastSave="{00000000-0000-0000-0000-000000000000}"/>
  <bookViews>
    <workbookView xWindow="-120" yWindow="-120" windowWidth="29040" windowHeight="15990" activeTab="1" xr2:uid="{AB7C4A6A-7B96-480B-AC3E-F5A0490C23C7}"/>
  </bookViews>
  <sheets>
    <sheet name="22.11.2023" sheetId="1" r:id="rId1"/>
    <sheet name="29.11.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2" l="1"/>
  <c r="M8" i="2"/>
  <c r="Q5" i="2"/>
  <c r="Q6" i="2" s="1"/>
  <c r="M3" i="2"/>
  <c r="Q4" i="2"/>
  <c r="G12" i="1"/>
  <c r="D12" i="1"/>
</calcChain>
</file>

<file path=xl/sharedStrings.xml><?xml version="1.0" encoding="utf-8"?>
<sst xmlns="http://schemas.openxmlformats.org/spreadsheetml/2006/main" count="102" uniqueCount="52">
  <si>
    <t>SOLL</t>
  </si>
  <si>
    <t>HABEN</t>
  </si>
  <si>
    <t>HW-Vorrat</t>
  </si>
  <si>
    <t>1.</t>
  </si>
  <si>
    <t>2.</t>
  </si>
  <si>
    <t>3.</t>
  </si>
  <si>
    <t>Bank</t>
  </si>
  <si>
    <t>Kassa</t>
  </si>
  <si>
    <t>4.</t>
  </si>
  <si>
    <t>5.</t>
  </si>
  <si>
    <t>Giro-Konto</t>
  </si>
  <si>
    <t>6.</t>
  </si>
  <si>
    <t>7.</t>
  </si>
  <si>
    <t>8.</t>
  </si>
  <si>
    <t>9.</t>
  </si>
  <si>
    <t>10.</t>
  </si>
  <si>
    <t>Lford</t>
  </si>
  <si>
    <t>Lverb</t>
  </si>
  <si>
    <t>Darlehen</t>
  </si>
  <si>
    <t>LVerb</t>
  </si>
  <si>
    <t>Summe</t>
  </si>
  <si>
    <t>Was war?</t>
  </si>
  <si>
    <t>aktivkonten</t>
  </si>
  <si>
    <t>+</t>
  </si>
  <si>
    <t>+ im SOLL</t>
  </si>
  <si>
    <t>- im HABEN</t>
  </si>
  <si>
    <t>passivkonten</t>
  </si>
  <si>
    <t>+ im HABEN</t>
  </si>
  <si>
    <t>- im SOLL</t>
  </si>
  <si>
    <t>basic shit, was passiert mit sachkonten (aktiva, passiva) usw.</t>
  </si>
  <si>
    <t>Mietaufwand</t>
  </si>
  <si>
    <t>Zinserlose</t>
  </si>
  <si>
    <t>Gewinnanpassung</t>
  </si>
  <si>
    <t>-</t>
  </si>
  <si>
    <t>3 &amp; 9</t>
  </si>
  <si>
    <t>0 - 2</t>
  </si>
  <si>
    <t>Nehmen keinen Einfluss auf GuV</t>
  </si>
  <si>
    <t>Erfolg- &amp; Aufwandskonten kamen hinzu, VSt. und Ust. Ebenso</t>
  </si>
  <si>
    <t>Aufwandskonten</t>
  </si>
  <si>
    <t>Erfolg-/Ertragskonten</t>
  </si>
  <si>
    <t>4 &amp; 8</t>
  </si>
  <si>
    <t>5 - 8</t>
  </si>
  <si>
    <t>Zinserträge</t>
  </si>
  <si>
    <t>Mieterträge</t>
  </si>
  <si>
    <t>Kasa</t>
  </si>
  <si>
    <t>Ust 20%</t>
  </si>
  <si>
    <t>Provisionserträge</t>
  </si>
  <si>
    <t>an</t>
  </si>
  <si>
    <t>Telefonaufwände</t>
  </si>
  <si>
    <t>VSt 20%</t>
  </si>
  <si>
    <t>Girokonto</t>
  </si>
  <si>
    <t>Versicherung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</si>
</sst>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C07]\ * #,##0.00_-;\-[$€-C07]\ * #,##0.00_-;_-[$€-C07]\ 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0" xfId="0" quotePrefix="1"/>
    <xf numFmtId="16" fontId="0" fillId="0" borderId="0" xfId="0" quotePrefix="1" applyNumberFormat="1"/>
    <xf numFmtId="164" fontId="0" fillId="0" borderId="1" xfId="0" applyNumberFormat="1" applyBorder="1"/>
    <xf numFmtId="0" fontId="0" fillId="0" borderId="1" xfId="0" quotePrefix="1" applyBorder="1"/>
    <xf numFmtId="0" fontId="0" fillId="0" borderId="4" xfId="0" applyBorder="1"/>
    <xf numFmtId="164" fontId="0" fillId="0" borderId="4" xfId="0" applyNumberFormat="1" applyBorder="1"/>
    <xf numFmtId="0" fontId="0" fillId="0" borderId="4" xfId="0" quotePrefix="1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0" xfId="0" applyBorder="1"/>
    <xf numFmtId="164" fontId="0" fillId="0" borderId="9" xfId="0" applyNumberFormat="1" applyBorder="1"/>
    <xf numFmtId="164" fontId="0" fillId="0" borderId="7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0EC2-69F1-47CF-95F1-A07A00D3C01E}">
  <dimension ref="A1:G20"/>
  <sheetViews>
    <sheetView workbookViewId="0">
      <selection activeCell="A21" sqref="A21"/>
    </sheetView>
  </sheetViews>
  <sheetFormatPr baseColWidth="10" defaultRowHeight="15" x14ac:dyDescent="0.25"/>
  <cols>
    <col min="1" max="1" width="12.7109375" bestFit="1" customWidth="1"/>
    <col min="2" max="2" width="11.28515625" bestFit="1" customWidth="1"/>
    <col min="4" max="4" width="12" bestFit="1" customWidth="1"/>
    <col min="7" max="7" width="12" bestFit="1" customWidth="1"/>
  </cols>
  <sheetData>
    <row r="1" spans="1:7" x14ac:dyDescent="0.25">
      <c r="B1" s="1" t="s">
        <v>0</v>
      </c>
      <c r="C1" s="1"/>
      <c r="D1" s="1"/>
      <c r="E1" s="1"/>
      <c r="F1" s="1"/>
      <c r="G1" s="1" t="s">
        <v>1</v>
      </c>
    </row>
    <row r="2" spans="1:7" x14ac:dyDescent="0.25">
      <c r="A2" t="s">
        <v>3</v>
      </c>
      <c r="B2">
        <v>1000</v>
      </c>
      <c r="C2" t="s">
        <v>2</v>
      </c>
      <c r="D2" s="4">
        <v>539</v>
      </c>
      <c r="E2" s="2">
        <v>2710</v>
      </c>
      <c r="F2" t="s">
        <v>7</v>
      </c>
      <c r="G2" s="4">
        <v>539</v>
      </c>
    </row>
    <row r="3" spans="1:7" x14ac:dyDescent="0.25">
      <c r="A3" t="s">
        <v>4</v>
      </c>
      <c r="B3">
        <v>1000</v>
      </c>
      <c r="C3" t="s">
        <v>2</v>
      </c>
      <c r="D3" s="4">
        <v>2499</v>
      </c>
      <c r="E3" s="3">
        <v>3000</v>
      </c>
      <c r="F3" t="s">
        <v>17</v>
      </c>
      <c r="G3" s="4">
        <v>2499</v>
      </c>
    </row>
    <row r="4" spans="1:7" x14ac:dyDescent="0.25">
      <c r="A4" t="s">
        <v>5</v>
      </c>
      <c r="B4">
        <v>2710</v>
      </c>
      <c r="C4" t="s">
        <v>7</v>
      </c>
      <c r="D4" s="4">
        <v>400</v>
      </c>
      <c r="E4" s="3">
        <v>2800</v>
      </c>
      <c r="F4" t="s">
        <v>6</v>
      </c>
      <c r="G4" s="4">
        <v>400</v>
      </c>
    </row>
    <row r="5" spans="1:7" x14ac:dyDescent="0.25">
      <c r="A5" t="s">
        <v>8</v>
      </c>
      <c r="B5">
        <v>2800</v>
      </c>
      <c r="C5" t="s">
        <v>6</v>
      </c>
      <c r="D5" s="4">
        <v>1000</v>
      </c>
      <c r="E5" s="3">
        <v>2710</v>
      </c>
      <c r="F5" t="s">
        <v>7</v>
      </c>
      <c r="G5" s="4">
        <v>1000</v>
      </c>
    </row>
    <row r="6" spans="1:7" x14ac:dyDescent="0.25">
      <c r="A6" t="s">
        <v>9</v>
      </c>
      <c r="B6">
        <v>2820</v>
      </c>
      <c r="C6" t="s">
        <v>10</v>
      </c>
      <c r="D6" s="4">
        <v>3000</v>
      </c>
      <c r="E6" s="3">
        <v>2800</v>
      </c>
      <c r="F6" t="s">
        <v>6</v>
      </c>
      <c r="G6" s="4">
        <v>3000</v>
      </c>
    </row>
    <row r="7" spans="1:7" x14ac:dyDescent="0.25">
      <c r="A7" t="s">
        <v>11</v>
      </c>
      <c r="B7">
        <v>2800</v>
      </c>
      <c r="C7" t="s">
        <v>6</v>
      </c>
      <c r="D7" s="4">
        <v>2500</v>
      </c>
      <c r="E7" s="3">
        <v>2010</v>
      </c>
      <c r="F7" t="s">
        <v>16</v>
      </c>
      <c r="G7" s="4">
        <v>2500</v>
      </c>
    </row>
    <row r="8" spans="1:7" x14ac:dyDescent="0.25">
      <c r="A8" t="s">
        <v>12</v>
      </c>
      <c r="B8">
        <v>2800</v>
      </c>
      <c r="C8" t="s">
        <v>6</v>
      </c>
      <c r="D8" s="4">
        <v>50000</v>
      </c>
      <c r="E8" s="3">
        <v>3310</v>
      </c>
      <c r="F8" t="s">
        <v>18</v>
      </c>
      <c r="G8" s="4">
        <v>50000</v>
      </c>
    </row>
    <row r="9" spans="1:7" x14ac:dyDescent="0.25">
      <c r="A9" t="s">
        <v>13</v>
      </c>
      <c r="B9">
        <v>3000</v>
      </c>
      <c r="C9" t="s">
        <v>17</v>
      </c>
      <c r="D9" s="4">
        <v>3000</v>
      </c>
      <c r="E9" s="3">
        <v>2800</v>
      </c>
      <c r="F9" t="s">
        <v>6</v>
      </c>
      <c r="G9" s="4">
        <v>3000</v>
      </c>
    </row>
    <row r="10" spans="1:7" x14ac:dyDescent="0.25">
      <c r="A10" t="s">
        <v>14</v>
      </c>
      <c r="B10">
        <v>3310</v>
      </c>
      <c r="C10" t="s">
        <v>18</v>
      </c>
      <c r="D10" s="4">
        <v>1500</v>
      </c>
      <c r="E10" s="3">
        <v>2800</v>
      </c>
      <c r="F10" t="s">
        <v>6</v>
      </c>
      <c r="G10" s="4">
        <v>1500</v>
      </c>
    </row>
    <row r="11" spans="1:7" x14ac:dyDescent="0.25">
      <c r="A11" t="s">
        <v>15</v>
      </c>
      <c r="B11">
        <v>3000</v>
      </c>
      <c r="C11" t="s">
        <v>19</v>
      </c>
      <c r="D11" s="4">
        <v>500</v>
      </c>
      <c r="E11" s="3">
        <v>2710</v>
      </c>
      <c r="F11" t="s">
        <v>7</v>
      </c>
      <c r="G11" s="4">
        <v>500</v>
      </c>
    </row>
    <row r="12" spans="1:7" x14ac:dyDescent="0.25">
      <c r="C12" t="s">
        <v>20</v>
      </c>
      <c r="D12" s="4">
        <f>SUM(D2:D11)</f>
        <v>64938</v>
      </c>
      <c r="F12" t="s">
        <v>20</v>
      </c>
      <c r="G12" s="4">
        <f>SUM(G2:G11)</f>
        <v>64938</v>
      </c>
    </row>
    <row r="13" spans="1:7" x14ac:dyDescent="0.25">
      <c r="A13" t="s">
        <v>21</v>
      </c>
    </row>
    <row r="14" spans="1:7" x14ac:dyDescent="0.25">
      <c r="A14" s="13" t="s">
        <v>29</v>
      </c>
      <c r="B14" s="13"/>
      <c r="C14" s="13"/>
      <c r="D14" s="13"/>
      <c r="E14" s="13"/>
      <c r="F14" s="13"/>
      <c r="G14" s="13"/>
    </row>
    <row r="15" spans="1:7" x14ac:dyDescent="0.25">
      <c r="A15" t="s">
        <v>22</v>
      </c>
      <c r="B15" s="5" t="s">
        <v>24</v>
      </c>
    </row>
    <row r="16" spans="1:7" x14ac:dyDescent="0.25">
      <c r="A16" t="s">
        <v>35</v>
      </c>
      <c r="B16" s="5" t="s">
        <v>25</v>
      </c>
    </row>
    <row r="18" spans="1:2" x14ac:dyDescent="0.25">
      <c r="A18" t="s">
        <v>26</v>
      </c>
      <c r="B18" s="5" t="s">
        <v>27</v>
      </c>
    </row>
    <row r="19" spans="1:2" x14ac:dyDescent="0.25">
      <c r="A19" t="s">
        <v>34</v>
      </c>
      <c r="B19" s="5" t="s">
        <v>28</v>
      </c>
    </row>
    <row r="20" spans="1:2" x14ac:dyDescent="0.25">
      <c r="A20" t="s">
        <v>36</v>
      </c>
    </row>
  </sheetData>
  <mergeCells count="1">
    <mergeCell ref="A14:G14"/>
  </mergeCells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C8C5-2D6D-40E8-95D5-619A9FB6E04E}">
  <dimension ref="A1:S17"/>
  <sheetViews>
    <sheetView tabSelected="1" workbookViewId="0">
      <selection activeCell="K10" sqref="K10"/>
    </sheetView>
  </sheetViews>
  <sheetFormatPr baseColWidth="10" defaultRowHeight="15" x14ac:dyDescent="0.25"/>
  <sheetData>
    <row r="1" spans="1:19" x14ac:dyDescent="0.25">
      <c r="B1" s="1" t="s">
        <v>0</v>
      </c>
      <c r="C1" s="1"/>
      <c r="D1" s="1"/>
      <c r="E1" s="1"/>
      <c r="F1" s="1"/>
      <c r="G1" s="1" t="s">
        <v>1</v>
      </c>
      <c r="H1" t="s">
        <v>32</v>
      </c>
      <c r="J1" s="1"/>
      <c r="K1" s="1" t="s">
        <v>0</v>
      </c>
      <c r="L1" s="1"/>
      <c r="M1" s="1"/>
      <c r="N1" s="1"/>
      <c r="O1" s="1"/>
      <c r="P1" s="1"/>
      <c r="Q1" s="1" t="s">
        <v>1</v>
      </c>
      <c r="R1" s="1" t="s">
        <v>32</v>
      </c>
    </row>
    <row r="2" spans="1:19" x14ac:dyDescent="0.25">
      <c r="A2" t="s">
        <v>3</v>
      </c>
      <c r="B2">
        <v>7400</v>
      </c>
      <c r="C2" t="s">
        <v>30</v>
      </c>
      <c r="D2" s="4">
        <v>1200</v>
      </c>
      <c r="E2" s="2">
        <v>2800</v>
      </c>
      <c r="F2" t="s">
        <v>6</v>
      </c>
      <c r="G2" s="4">
        <v>1200</v>
      </c>
      <c r="H2" s="5" t="s">
        <v>33</v>
      </c>
      <c r="J2" s="1" t="s">
        <v>3</v>
      </c>
      <c r="K2" s="1">
        <v>2800</v>
      </c>
      <c r="L2" s="1" t="s">
        <v>6</v>
      </c>
      <c r="M2" s="7">
        <v>98.7</v>
      </c>
      <c r="N2" s="16" t="s">
        <v>47</v>
      </c>
      <c r="O2" s="12">
        <v>8020</v>
      </c>
      <c r="P2" s="1" t="s">
        <v>42</v>
      </c>
      <c r="Q2" s="7">
        <v>98.7</v>
      </c>
      <c r="R2" s="8" t="s">
        <v>23</v>
      </c>
    </row>
    <row r="3" spans="1:19" x14ac:dyDescent="0.25">
      <c r="A3" t="s">
        <v>4</v>
      </c>
      <c r="B3">
        <v>2800</v>
      </c>
      <c r="C3" t="s">
        <v>6</v>
      </c>
      <c r="D3" s="4">
        <v>45.35</v>
      </c>
      <c r="E3" s="3">
        <v>8050</v>
      </c>
      <c r="F3" t="s">
        <v>31</v>
      </c>
      <c r="G3" s="4">
        <v>45.35</v>
      </c>
      <c r="H3" s="5" t="s">
        <v>23</v>
      </c>
      <c r="J3" s="9" t="s">
        <v>4</v>
      </c>
      <c r="K3" s="9">
        <v>2700</v>
      </c>
      <c r="L3" s="9" t="s">
        <v>44</v>
      </c>
      <c r="M3" s="10">
        <f>Q3*1.2</f>
        <v>720</v>
      </c>
      <c r="N3" s="17" t="s">
        <v>47</v>
      </c>
      <c r="O3" s="2">
        <v>4830</v>
      </c>
      <c r="P3" s="9" t="s">
        <v>43</v>
      </c>
      <c r="Q3" s="10">
        <v>600</v>
      </c>
      <c r="R3" s="11" t="s">
        <v>23</v>
      </c>
    </row>
    <row r="4" spans="1:19" x14ac:dyDescent="0.25">
      <c r="A4" t="s">
        <v>5</v>
      </c>
      <c r="D4" s="4"/>
      <c r="E4" s="3"/>
      <c r="G4" s="4"/>
      <c r="J4" s="1"/>
      <c r="K4" s="1"/>
      <c r="L4" s="1"/>
      <c r="M4" s="7"/>
      <c r="N4" s="18"/>
      <c r="O4" s="12">
        <v>3520</v>
      </c>
      <c r="P4" s="1" t="s">
        <v>45</v>
      </c>
      <c r="Q4" s="7">
        <f>Q3*0.2</f>
        <v>120</v>
      </c>
      <c r="R4" s="1"/>
    </row>
    <row r="5" spans="1:19" x14ac:dyDescent="0.25">
      <c r="A5" t="s">
        <v>8</v>
      </c>
      <c r="D5" s="4"/>
      <c r="E5" s="3"/>
      <c r="G5" s="4"/>
      <c r="J5" s="9" t="s">
        <v>5</v>
      </c>
      <c r="K5" s="9">
        <v>2800</v>
      </c>
      <c r="L5" s="9" t="s">
        <v>6</v>
      </c>
      <c r="M5" s="10">
        <v>893</v>
      </c>
      <c r="N5" s="17" t="s">
        <v>47</v>
      </c>
      <c r="O5" s="2">
        <v>4290</v>
      </c>
      <c r="P5" s="9" t="s">
        <v>46</v>
      </c>
      <c r="Q5" s="10">
        <f>M5/1.2*1</f>
        <v>744.16666666666674</v>
      </c>
      <c r="R5" s="11" t="s">
        <v>23</v>
      </c>
    </row>
    <row r="6" spans="1:19" x14ac:dyDescent="0.25">
      <c r="A6" t="s">
        <v>9</v>
      </c>
      <c r="D6" s="4"/>
      <c r="E6" s="3"/>
      <c r="G6" s="4"/>
      <c r="J6" s="1"/>
      <c r="K6" s="1"/>
      <c r="L6" s="1"/>
      <c r="M6" s="7"/>
      <c r="N6" s="18"/>
      <c r="O6" s="12">
        <v>3520</v>
      </c>
      <c r="P6" s="1" t="s">
        <v>45</v>
      </c>
      <c r="Q6" s="7">
        <f>Q5*0.2</f>
        <v>148.83333333333334</v>
      </c>
      <c r="R6" s="1"/>
    </row>
    <row r="7" spans="1:19" x14ac:dyDescent="0.25">
      <c r="A7" t="s">
        <v>11</v>
      </c>
      <c r="D7" s="4"/>
      <c r="E7" s="3"/>
      <c r="G7" s="4"/>
      <c r="J7" s="9" t="s">
        <v>8</v>
      </c>
      <c r="K7" s="9">
        <v>7630</v>
      </c>
      <c r="L7" s="9" t="s">
        <v>48</v>
      </c>
      <c r="M7" s="10">
        <v>345.32</v>
      </c>
      <c r="N7" s="17" t="s">
        <v>47</v>
      </c>
      <c r="O7" s="2">
        <v>2820</v>
      </c>
      <c r="P7" s="9" t="s">
        <v>50</v>
      </c>
      <c r="Q7" s="10">
        <f>M7*1.2</f>
        <v>414.38399999999996</v>
      </c>
      <c r="R7" s="11" t="s">
        <v>33</v>
      </c>
    </row>
    <row r="8" spans="1:19" x14ac:dyDescent="0.25">
      <c r="A8" t="s">
        <v>12</v>
      </c>
      <c r="D8" s="4"/>
      <c r="E8" s="3"/>
      <c r="G8" s="4"/>
      <c r="J8" s="1"/>
      <c r="K8" s="1">
        <v>2520</v>
      </c>
      <c r="L8" s="1" t="s">
        <v>49</v>
      </c>
      <c r="M8" s="7">
        <f>M7*0.2</f>
        <v>69.064000000000007</v>
      </c>
      <c r="N8" s="18"/>
      <c r="O8" s="12"/>
      <c r="P8" s="1"/>
      <c r="Q8" s="7"/>
      <c r="R8" s="1"/>
    </row>
    <row r="9" spans="1:19" x14ac:dyDescent="0.25">
      <c r="A9" t="s">
        <v>13</v>
      </c>
      <c r="D9" s="4"/>
      <c r="E9" s="3"/>
      <c r="G9" s="4"/>
      <c r="J9" s="9" t="s">
        <v>9</v>
      </c>
      <c r="K9" s="9">
        <v>7700</v>
      </c>
      <c r="L9" s="9" t="s">
        <v>51</v>
      </c>
      <c r="M9" s="10">
        <v>230</v>
      </c>
      <c r="N9" s="17" t="s">
        <v>47</v>
      </c>
      <c r="O9" s="2">
        <v>2820</v>
      </c>
      <c r="P9" s="9" t="s">
        <v>50</v>
      </c>
      <c r="Q9" s="10">
        <v>230</v>
      </c>
      <c r="R9" s="11" t="s">
        <v>33</v>
      </c>
    </row>
    <row r="10" spans="1:19" x14ac:dyDescent="0.25">
      <c r="A10" t="s">
        <v>14</v>
      </c>
      <c r="D10" s="4"/>
      <c r="E10" s="3"/>
      <c r="G10" s="4"/>
      <c r="J10" s="9" t="s">
        <v>11</v>
      </c>
      <c r="K10" s="9"/>
      <c r="L10" s="9"/>
      <c r="M10" s="10"/>
      <c r="N10" s="17"/>
      <c r="O10" s="9"/>
      <c r="P10" s="9"/>
      <c r="Q10" s="10"/>
      <c r="R10" s="9"/>
      <c r="S10" s="14"/>
    </row>
    <row r="11" spans="1:19" x14ac:dyDescent="0.25">
      <c r="A11" t="s">
        <v>15</v>
      </c>
      <c r="D11" s="4"/>
      <c r="E11" s="3"/>
      <c r="G11" s="4"/>
      <c r="M11" s="4"/>
      <c r="N11" s="15"/>
      <c r="O11" s="3"/>
      <c r="Q11" s="4"/>
    </row>
    <row r="12" spans="1:19" x14ac:dyDescent="0.25">
      <c r="A12" t="s">
        <v>21</v>
      </c>
      <c r="D12" s="4"/>
      <c r="G12" s="4"/>
    </row>
    <row r="13" spans="1:19" x14ac:dyDescent="0.25">
      <c r="A13" t="s">
        <v>37</v>
      </c>
    </row>
    <row r="14" spans="1:19" x14ac:dyDescent="0.25">
      <c r="A14" t="s">
        <v>39</v>
      </c>
    </row>
    <row r="15" spans="1:19" x14ac:dyDescent="0.25">
      <c r="A15" t="s">
        <v>40</v>
      </c>
    </row>
    <row r="16" spans="1:19" x14ac:dyDescent="0.25">
      <c r="A16" t="s">
        <v>38</v>
      </c>
    </row>
    <row r="17" spans="1:1" x14ac:dyDescent="0.25">
      <c r="A17" s="6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22.11.2023</vt:lpstr>
      <vt:lpstr>29.11.2023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Pierdiluca Dominik</dc:creator>
  <cp:lastModifiedBy>Pierdiluca Dominik</cp:lastModifiedBy>
  <dcterms:created xsi:type="dcterms:W3CDTF">2023-11-22T13:27:56Z</dcterms:created>
  <dcterms:modified xsi:type="dcterms:W3CDTF">2023-12-05T09:27:00Z</dcterms:modified>
</cp:coreProperties>
</file>