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tklar\Desktop\study thangs\ITRW\2. Aufgabe\"/>
    </mc:Choice>
  </mc:AlternateContent>
  <xr:revisionPtr revIDLastSave="0" documentId="13_ncr:1_{A55E3375-814B-4CF3-8533-D420642C52E4}" xr6:coauthVersionLast="47" xr6:coauthVersionMax="47" xr10:uidLastSave="{00000000-0000-0000-0000-000000000000}"/>
  <bookViews>
    <workbookView xWindow="-120" yWindow="-120" windowWidth="29040" windowHeight="15990" xr2:uid="{66A8AF97-45A4-4CCA-8228-7CE3C8A72EC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27" i="1"/>
  <c r="F28" i="1" s="1"/>
  <c r="F24" i="1"/>
  <c r="F25" i="1" s="1"/>
  <c r="F21" i="1"/>
  <c r="F22" i="1" s="1"/>
  <c r="F19" i="1"/>
  <c r="F18" i="1"/>
  <c r="E5" i="1"/>
  <c r="E6" i="1" s="1"/>
  <c r="E8" i="1"/>
  <c r="E9" i="1" s="1"/>
  <c r="E12" i="1"/>
  <c r="E11" i="1"/>
  <c r="E15" i="1"/>
  <c r="E14" i="1"/>
  <c r="E3" i="1"/>
  <c r="E2" i="1"/>
  <c r="B5" i="1"/>
  <c r="B8" i="1" s="1"/>
  <c r="B11" i="1" s="1"/>
  <c r="B14" i="1" s="1"/>
  <c r="B17" i="1" s="1"/>
  <c r="B20" i="1" s="1"/>
  <c r="B23" i="1" s="1"/>
  <c r="B26" i="1" s="1"/>
  <c r="B29" i="1" s="1"/>
</calcChain>
</file>

<file path=xl/sharedStrings.xml><?xml version="1.0" encoding="utf-8"?>
<sst xmlns="http://schemas.openxmlformats.org/spreadsheetml/2006/main" count="77" uniqueCount="36">
  <si>
    <t>an 3500</t>
  </si>
  <si>
    <t>an 3300</t>
  </si>
  <si>
    <t>Büromaterial</t>
  </si>
  <si>
    <t>ER1</t>
  </si>
  <si>
    <t>Konten</t>
  </si>
  <si>
    <t>Bezeichnung</t>
  </si>
  <si>
    <t>SOLL</t>
  </si>
  <si>
    <t>HABEN</t>
  </si>
  <si>
    <t>-</t>
  </si>
  <si>
    <t>ER2</t>
  </si>
  <si>
    <t>Portogebühren</t>
  </si>
  <si>
    <t>ER3</t>
  </si>
  <si>
    <t>Telefongebühren</t>
  </si>
  <si>
    <t>LVerb.</t>
  </si>
  <si>
    <t>USt.</t>
  </si>
  <si>
    <t>ER4</t>
  </si>
  <si>
    <t>ER5</t>
  </si>
  <si>
    <t>Reise- und Fahraufwand</t>
  </si>
  <si>
    <t>AR1</t>
  </si>
  <si>
    <t>VSt.</t>
  </si>
  <si>
    <t>LFord.</t>
  </si>
  <si>
    <t>an 4820</t>
  </si>
  <si>
    <t>+</t>
  </si>
  <si>
    <t>Übrige betriebliche Erträge 20%</t>
  </si>
  <si>
    <t>AR2</t>
  </si>
  <si>
    <t>AR3</t>
  </si>
  <si>
    <t>AR4</t>
  </si>
  <si>
    <t>AR5</t>
  </si>
  <si>
    <t>Datum</t>
  </si>
  <si>
    <t>Re-Nr.</t>
  </si>
  <si>
    <t>Gewinnausw.</t>
  </si>
  <si>
    <t>Wie haben sich die Salden auf dem Kassakonto und auf den Umsatzsteuerkonten entwickelt?</t>
  </si>
  <si>
    <t>Wie wirken sich die Buchungen auf den Erfolg (Gewinn- und Verlustrechnung) des Unternehmens aus?</t>
  </si>
  <si>
    <t>siehe Gewinnauswirkung</t>
  </si>
  <si>
    <t>(Aufgrund der Rundungsfehler von Excel hab ich die Daten direkt von proAlpha übernommen)</t>
  </si>
  <si>
    <t>VSt.: 38,85 €; USt.:66,32 €; Kassa: -350,00€ (siehe jeweiliges Kontenblatt)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</si>
</sst>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1" fillId="2" borderId="3" xfId="0" applyFont="1" applyFill="1" applyBorder="1"/>
    <xf numFmtId="0" fontId="0" fillId="0" borderId="4" xfId="0" applyBorder="1"/>
    <xf numFmtId="14" fontId="0" fillId="0" borderId="4" xfId="0" applyNumberFormat="1" applyBorder="1"/>
    <xf numFmtId="0" fontId="0" fillId="0" borderId="4" xfId="0" applyBorder="1" applyAlignment="1">
      <alignment horizontal="left"/>
    </xf>
    <xf numFmtId="164" fontId="0" fillId="0" borderId="4" xfId="0" applyNumberFormat="1" applyBorder="1"/>
    <xf numFmtId="0" fontId="0" fillId="0" borderId="4" xfId="0" quotePrefix="1" applyBorder="1"/>
    <xf numFmtId="0" fontId="0" fillId="0" borderId="5" xfId="0" applyBorder="1"/>
    <xf numFmtId="0" fontId="0" fillId="0" borderId="5" xfId="0" applyBorder="1" applyAlignment="1">
      <alignment horizontal="left"/>
    </xf>
    <xf numFmtId="164" fontId="0" fillId="0" borderId="5" xfId="0" applyNumberFormat="1" applyBorder="1"/>
    <xf numFmtId="14" fontId="0" fillId="0" borderId="5" xfId="0" applyNumberFormat="1" applyBorder="1"/>
    <xf numFmtId="0" fontId="0" fillId="0" borderId="5" xfId="0" quotePrefix="1" applyBorder="1"/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10" xfId="0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1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10" xfId="0" applyFont="1" applyFill="1" applyBorder="1" applyAlignment="1">
      <alignment horizontal="left"/>
    </xf>
  </cellXfs>
  <cellStyles count="1">
    <cellStyle name="Standard" xfId="0" builtinId="0"/>
  </cellStyles>
  <dxfs count="2">
    <dxf>
      <fill>
        <patternFill>
          <bgColor rgb="FFFF3F3F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C8DD-08A1-4242-82C0-32FBA0F869C0}">
  <sheetPr>
    <pageSetUpPr fitToPage="1"/>
  </sheetPr>
  <dimension ref="A1:P34"/>
  <sheetViews>
    <sheetView tabSelected="1" workbookViewId="0">
      <selection activeCell="J32" sqref="J32"/>
    </sheetView>
  </sheetViews>
  <sheetFormatPr baseColWidth="10" defaultRowHeight="15" x14ac:dyDescent="0.25"/>
  <cols>
    <col min="1" max="1" width="8.7109375" bestFit="1" customWidth="1"/>
    <col min="2" max="2" width="10.140625" bestFit="1" customWidth="1"/>
    <col min="3" max="3" width="9.42578125" bestFit="1" customWidth="1"/>
    <col min="4" max="4" width="29.28515625" bestFit="1" customWidth="1"/>
    <col min="5" max="5" width="9.42578125" style="1" bestFit="1" customWidth="1"/>
    <col min="6" max="6" width="11.140625" style="1" bestFit="1" customWidth="1"/>
    <col min="7" max="7" width="16.7109375" bestFit="1" customWidth="1"/>
  </cols>
  <sheetData>
    <row r="1" spans="1:16" ht="19.5" thickBot="1" x14ac:dyDescent="0.35">
      <c r="A1" s="3" t="s">
        <v>29</v>
      </c>
      <c r="B1" s="4" t="s">
        <v>28</v>
      </c>
      <c r="C1" s="4" t="s">
        <v>4</v>
      </c>
      <c r="D1" s="4" t="s">
        <v>5</v>
      </c>
      <c r="E1" s="5" t="s">
        <v>6</v>
      </c>
      <c r="F1" s="5" t="s">
        <v>7</v>
      </c>
      <c r="G1" s="6" t="s">
        <v>30</v>
      </c>
    </row>
    <row r="2" spans="1:16" x14ac:dyDescent="0.25">
      <c r="A2" s="7" t="s">
        <v>3</v>
      </c>
      <c r="B2" s="8">
        <v>45265</v>
      </c>
      <c r="C2" s="9">
        <v>7600</v>
      </c>
      <c r="D2" s="7" t="s">
        <v>2</v>
      </c>
      <c r="E2" s="10">
        <f>F4/1.2</f>
        <v>52.783333333333339</v>
      </c>
      <c r="F2" s="10"/>
      <c r="G2" s="11" t="s">
        <v>8</v>
      </c>
    </row>
    <row r="3" spans="1:16" x14ac:dyDescent="0.25">
      <c r="A3" s="12"/>
      <c r="B3" s="12"/>
      <c r="C3" s="13">
        <v>2500</v>
      </c>
      <c r="D3" s="12" t="s">
        <v>19</v>
      </c>
      <c r="E3" s="14">
        <f>E2*0.2</f>
        <v>10.556666666666668</v>
      </c>
      <c r="F3" s="14"/>
      <c r="G3" s="12"/>
    </row>
    <row r="4" spans="1:16" x14ac:dyDescent="0.25">
      <c r="A4" s="12"/>
      <c r="B4" s="12"/>
      <c r="C4" s="13" t="s">
        <v>1</v>
      </c>
      <c r="D4" s="12" t="s">
        <v>13</v>
      </c>
      <c r="E4" s="14"/>
      <c r="F4" s="14">
        <v>63.34</v>
      </c>
      <c r="G4" s="12"/>
    </row>
    <row r="5" spans="1:16" x14ac:dyDescent="0.25">
      <c r="A5" s="12" t="s">
        <v>9</v>
      </c>
      <c r="B5" s="15">
        <f>B2</f>
        <v>45265</v>
      </c>
      <c r="C5" s="13">
        <v>7385</v>
      </c>
      <c r="D5" s="12" t="s">
        <v>10</v>
      </c>
      <c r="E5" s="14">
        <f>F7/1.2</f>
        <v>11.225000000000001</v>
      </c>
      <c r="F5" s="14"/>
      <c r="G5" s="16" t="s">
        <v>8</v>
      </c>
    </row>
    <row r="6" spans="1:16" x14ac:dyDescent="0.25">
      <c r="A6" s="12"/>
      <c r="B6" s="12"/>
      <c r="C6" s="13">
        <v>2500</v>
      </c>
      <c r="D6" s="12" t="s">
        <v>19</v>
      </c>
      <c r="E6" s="14">
        <f>E5*0.2</f>
        <v>2.2450000000000006</v>
      </c>
      <c r="F6" s="14"/>
      <c r="G6" s="12"/>
    </row>
    <row r="7" spans="1:16" ht="15.75" thickBot="1" x14ac:dyDescent="0.3">
      <c r="A7" s="12"/>
      <c r="B7" s="12"/>
      <c r="C7" s="13" t="s">
        <v>1</v>
      </c>
      <c r="D7" s="12" t="s">
        <v>13</v>
      </c>
      <c r="E7" s="14"/>
      <c r="F7" s="14">
        <v>13.47</v>
      </c>
      <c r="G7" s="12"/>
    </row>
    <row r="8" spans="1:16" x14ac:dyDescent="0.25">
      <c r="A8" s="12" t="s">
        <v>11</v>
      </c>
      <c r="B8" s="15">
        <f>B5</f>
        <v>45265</v>
      </c>
      <c r="C8" s="13">
        <v>7380</v>
      </c>
      <c r="D8" s="12" t="s">
        <v>12</v>
      </c>
      <c r="E8" s="14">
        <f>F10/1.2</f>
        <v>75.625</v>
      </c>
      <c r="F8" s="14"/>
      <c r="G8" s="16" t="s">
        <v>8</v>
      </c>
      <c r="I8" s="20" t="s">
        <v>31</v>
      </c>
      <c r="J8" s="21"/>
      <c r="K8" s="21"/>
      <c r="L8" s="21"/>
      <c r="M8" s="21"/>
      <c r="N8" s="21"/>
      <c r="O8" s="21"/>
      <c r="P8" s="22"/>
    </row>
    <row r="9" spans="1:16" x14ac:dyDescent="0.25">
      <c r="A9" s="12"/>
      <c r="B9" s="12"/>
      <c r="C9" s="13">
        <v>2500</v>
      </c>
      <c r="D9" s="12" t="s">
        <v>19</v>
      </c>
      <c r="E9" s="14">
        <f>E8*0.2</f>
        <v>15.125</v>
      </c>
      <c r="F9" s="14"/>
      <c r="G9" s="12"/>
      <c r="I9" s="23" t="s">
        <v>35</v>
      </c>
      <c r="J9" s="24"/>
      <c r="K9" s="24"/>
      <c r="L9" s="24"/>
      <c r="M9" s="24"/>
      <c r="N9" s="24"/>
      <c r="O9" s="24"/>
      <c r="P9" s="25"/>
    </row>
    <row r="10" spans="1:16" x14ac:dyDescent="0.25">
      <c r="A10" s="12"/>
      <c r="B10" s="12"/>
      <c r="C10" s="13" t="s">
        <v>1</v>
      </c>
      <c r="D10" s="12" t="s">
        <v>13</v>
      </c>
      <c r="E10" s="14"/>
      <c r="F10" s="14">
        <v>90.75</v>
      </c>
      <c r="G10" s="12"/>
      <c r="I10" s="29" t="s">
        <v>34</v>
      </c>
      <c r="J10" s="30"/>
      <c r="K10" s="30"/>
      <c r="L10" s="30"/>
      <c r="M10" s="30"/>
      <c r="N10" s="30"/>
      <c r="O10" s="30"/>
      <c r="P10" s="31"/>
    </row>
    <row r="11" spans="1:16" x14ac:dyDescent="0.25">
      <c r="A11" s="12" t="s">
        <v>15</v>
      </c>
      <c r="B11" s="15">
        <f>B8</f>
        <v>45265</v>
      </c>
      <c r="C11" s="13">
        <v>7380</v>
      </c>
      <c r="D11" s="12" t="s">
        <v>12</v>
      </c>
      <c r="E11" s="14">
        <f>F13/1.2</f>
        <v>16.583333333333332</v>
      </c>
      <c r="F11" s="14"/>
      <c r="G11" s="16" t="s">
        <v>8</v>
      </c>
      <c r="I11" s="26" t="s">
        <v>32</v>
      </c>
      <c r="J11" s="27"/>
      <c r="K11" s="27"/>
      <c r="L11" s="27"/>
      <c r="M11" s="27"/>
      <c r="N11" s="27"/>
      <c r="O11" s="27"/>
      <c r="P11" s="28"/>
    </row>
    <row r="12" spans="1:16" ht="15.75" thickBot="1" x14ac:dyDescent="0.3">
      <c r="A12" s="12"/>
      <c r="B12" s="12"/>
      <c r="C12" s="13">
        <v>2500</v>
      </c>
      <c r="D12" s="12" t="s">
        <v>19</v>
      </c>
      <c r="E12" s="14">
        <f>E11*0.2</f>
        <v>3.3166666666666664</v>
      </c>
      <c r="F12" s="14"/>
      <c r="G12" s="12"/>
      <c r="I12" s="17" t="s">
        <v>33</v>
      </c>
      <c r="J12" s="18"/>
      <c r="K12" s="18"/>
      <c r="L12" s="18"/>
      <c r="M12" s="18"/>
      <c r="N12" s="18"/>
      <c r="O12" s="18"/>
      <c r="P12" s="19"/>
    </row>
    <row r="13" spans="1:16" x14ac:dyDescent="0.25">
      <c r="A13" s="12"/>
      <c r="B13" s="12"/>
      <c r="C13" s="13" t="s">
        <v>1</v>
      </c>
      <c r="D13" s="12" t="s">
        <v>13</v>
      </c>
      <c r="E13" s="14"/>
      <c r="F13" s="14">
        <v>19.899999999999999</v>
      </c>
      <c r="G13" s="12"/>
    </row>
    <row r="14" spans="1:16" x14ac:dyDescent="0.25">
      <c r="A14" s="12" t="s">
        <v>16</v>
      </c>
      <c r="B14" s="15">
        <f>B11</f>
        <v>45265</v>
      </c>
      <c r="C14" s="13">
        <v>7350</v>
      </c>
      <c r="D14" s="12" t="s">
        <v>17</v>
      </c>
      <c r="E14" s="14">
        <f>F16/1.2</f>
        <v>37.94166666666667</v>
      </c>
      <c r="F14" s="14"/>
      <c r="G14" s="16" t="s">
        <v>8</v>
      </c>
      <c r="I14" s="1"/>
    </row>
    <row r="15" spans="1:16" x14ac:dyDescent="0.25">
      <c r="A15" s="12"/>
      <c r="B15" s="12"/>
      <c r="C15" s="13">
        <v>2500</v>
      </c>
      <c r="D15" s="12" t="s">
        <v>19</v>
      </c>
      <c r="E15" s="14">
        <f>E14*0.2</f>
        <v>7.5883333333333347</v>
      </c>
      <c r="F15" s="14"/>
      <c r="G15" s="12"/>
    </row>
    <row r="16" spans="1:16" x14ac:dyDescent="0.25">
      <c r="A16" s="12"/>
      <c r="B16" s="12"/>
      <c r="C16" s="13" t="s">
        <v>1</v>
      </c>
      <c r="D16" s="12" t="s">
        <v>13</v>
      </c>
      <c r="E16" s="14"/>
      <c r="F16" s="14">
        <v>45.53</v>
      </c>
      <c r="G16" s="12"/>
      <c r="I16" s="1"/>
    </row>
    <row r="17" spans="1:7" x14ac:dyDescent="0.25">
      <c r="A17" s="12" t="s">
        <v>18</v>
      </c>
      <c r="B17" s="15">
        <f>B14</f>
        <v>45265</v>
      </c>
      <c r="C17" s="13">
        <v>2000</v>
      </c>
      <c r="D17" s="12" t="s">
        <v>20</v>
      </c>
      <c r="E17" s="14">
        <v>18.3</v>
      </c>
      <c r="F17" s="14"/>
      <c r="G17" s="12"/>
    </row>
    <row r="18" spans="1:7" x14ac:dyDescent="0.25">
      <c r="A18" s="12"/>
      <c r="B18" s="12"/>
      <c r="C18" s="13" t="s">
        <v>21</v>
      </c>
      <c r="D18" s="12" t="s">
        <v>23</v>
      </c>
      <c r="E18" s="14"/>
      <c r="F18" s="14">
        <f>E17/1.2</f>
        <v>15.250000000000002</v>
      </c>
      <c r="G18" s="16" t="s">
        <v>22</v>
      </c>
    </row>
    <row r="19" spans="1:7" x14ac:dyDescent="0.25">
      <c r="A19" s="12"/>
      <c r="B19" s="12"/>
      <c r="C19" s="13" t="s">
        <v>0</v>
      </c>
      <c r="D19" s="12" t="s">
        <v>14</v>
      </c>
      <c r="E19" s="14"/>
      <c r="F19" s="14">
        <f>F18*0.2</f>
        <v>3.0500000000000007</v>
      </c>
      <c r="G19" s="16"/>
    </row>
    <row r="20" spans="1:7" x14ac:dyDescent="0.25">
      <c r="A20" s="12" t="s">
        <v>24</v>
      </c>
      <c r="B20" s="15">
        <f>B17</f>
        <v>45265</v>
      </c>
      <c r="C20" s="13">
        <v>2000</v>
      </c>
      <c r="D20" s="12" t="s">
        <v>20</v>
      </c>
      <c r="E20" s="14">
        <v>99.9</v>
      </c>
      <c r="F20" s="14"/>
      <c r="G20" s="12"/>
    </row>
    <row r="21" spans="1:7" x14ac:dyDescent="0.25">
      <c r="A21" s="12"/>
      <c r="B21" s="12"/>
      <c r="C21" s="13" t="s">
        <v>21</v>
      </c>
      <c r="D21" s="12" t="s">
        <v>23</v>
      </c>
      <c r="E21" s="14"/>
      <c r="F21" s="14">
        <f>E20/1.2</f>
        <v>83.250000000000014</v>
      </c>
      <c r="G21" s="16" t="s">
        <v>22</v>
      </c>
    </row>
    <row r="22" spans="1:7" x14ac:dyDescent="0.25">
      <c r="A22" s="12"/>
      <c r="B22" s="12"/>
      <c r="C22" s="13" t="s">
        <v>0</v>
      </c>
      <c r="D22" s="12" t="s">
        <v>14</v>
      </c>
      <c r="E22" s="14"/>
      <c r="F22" s="14">
        <f>F21*0.2</f>
        <v>16.650000000000002</v>
      </c>
      <c r="G22" s="16"/>
    </row>
    <row r="23" spans="1:7" x14ac:dyDescent="0.25">
      <c r="A23" s="12" t="s">
        <v>25</v>
      </c>
      <c r="B23" s="15">
        <f>B20</f>
        <v>45265</v>
      </c>
      <c r="C23" s="13">
        <v>2000</v>
      </c>
      <c r="D23" s="12" t="s">
        <v>20</v>
      </c>
      <c r="E23" s="14">
        <v>49.9</v>
      </c>
      <c r="F23" s="14"/>
      <c r="G23" s="12"/>
    </row>
    <row r="24" spans="1:7" x14ac:dyDescent="0.25">
      <c r="A24" s="12"/>
      <c r="B24" s="12"/>
      <c r="C24" s="13" t="s">
        <v>21</v>
      </c>
      <c r="D24" s="12" t="s">
        <v>23</v>
      </c>
      <c r="E24" s="14"/>
      <c r="F24" s="14">
        <f>E23/1.2</f>
        <v>41.583333333333336</v>
      </c>
      <c r="G24" s="16" t="s">
        <v>22</v>
      </c>
    </row>
    <row r="25" spans="1:7" x14ac:dyDescent="0.25">
      <c r="A25" s="12"/>
      <c r="B25" s="12"/>
      <c r="C25" s="13" t="s">
        <v>0</v>
      </c>
      <c r="D25" s="12" t="s">
        <v>14</v>
      </c>
      <c r="E25" s="14"/>
      <c r="F25" s="14">
        <f>F24*0.2</f>
        <v>8.3166666666666682</v>
      </c>
      <c r="G25" s="16"/>
    </row>
    <row r="26" spans="1:7" x14ac:dyDescent="0.25">
      <c r="A26" s="12" t="s">
        <v>26</v>
      </c>
      <c r="B26" s="15">
        <f>B23</f>
        <v>45265</v>
      </c>
      <c r="C26" s="13">
        <v>2000</v>
      </c>
      <c r="D26" s="12" t="s">
        <v>20</v>
      </c>
      <c r="E26" s="14">
        <v>149.9</v>
      </c>
      <c r="F26" s="14"/>
      <c r="G26" s="12"/>
    </row>
    <row r="27" spans="1:7" x14ac:dyDescent="0.25">
      <c r="A27" s="12"/>
      <c r="B27" s="12"/>
      <c r="C27" s="13" t="s">
        <v>21</v>
      </c>
      <c r="D27" s="12" t="s">
        <v>23</v>
      </c>
      <c r="E27" s="14"/>
      <c r="F27" s="14">
        <f>E26/1.2</f>
        <v>124.91666666666667</v>
      </c>
      <c r="G27" s="16" t="s">
        <v>22</v>
      </c>
    </row>
    <row r="28" spans="1:7" x14ac:dyDescent="0.25">
      <c r="A28" s="12"/>
      <c r="B28" s="12"/>
      <c r="C28" s="13" t="s">
        <v>0</v>
      </c>
      <c r="D28" s="12" t="s">
        <v>14</v>
      </c>
      <c r="E28" s="14"/>
      <c r="F28" s="14">
        <f>F27*0.2</f>
        <v>24.983333333333334</v>
      </c>
      <c r="G28" s="16"/>
    </row>
    <row r="29" spans="1:7" x14ac:dyDescent="0.25">
      <c r="A29" s="12" t="s">
        <v>27</v>
      </c>
      <c r="B29" s="15">
        <f>B26</f>
        <v>45265</v>
      </c>
      <c r="C29" s="13">
        <v>2000</v>
      </c>
      <c r="D29" s="12" t="s">
        <v>20</v>
      </c>
      <c r="E29" s="14">
        <v>79.900000000000006</v>
      </c>
      <c r="F29" s="14"/>
      <c r="G29" s="12"/>
    </row>
    <row r="30" spans="1:7" x14ac:dyDescent="0.25">
      <c r="A30" s="12"/>
      <c r="B30" s="12"/>
      <c r="C30" s="13" t="s">
        <v>21</v>
      </c>
      <c r="D30" s="12" t="s">
        <v>23</v>
      </c>
      <c r="E30" s="14"/>
      <c r="F30" s="14">
        <f>E29/1.2</f>
        <v>66.583333333333343</v>
      </c>
      <c r="G30" s="16" t="s">
        <v>22</v>
      </c>
    </row>
    <row r="31" spans="1:7" x14ac:dyDescent="0.25">
      <c r="A31" s="12"/>
      <c r="B31" s="12"/>
      <c r="C31" s="13" t="s">
        <v>0</v>
      </c>
      <c r="D31" s="12" t="s">
        <v>14</v>
      </c>
      <c r="E31" s="14"/>
      <c r="F31" s="14">
        <f>F30*0.2</f>
        <v>13.31666666666667</v>
      </c>
      <c r="G31" s="16"/>
    </row>
    <row r="32" spans="1:7" x14ac:dyDescent="0.25">
      <c r="C32" s="2"/>
    </row>
    <row r="33" spans="3:3" x14ac:dyDescent="0.25">
      <c r="C33" s="2"/>
    </row>
    <row r="34" spans="3:3" x14ac:dyDescent="0.25">
      <c r="C34" s="2"/>
    </row>
  </sheetData>
  <mergeCells count="4">
    <mergeCell ref="I8:P8"/>
    <mergeCell ref="I9:P9"/>
    <mergeCell ref="I11:P11"/>
    <mergeCell ref="I10:P10"/>
  </mergeCells>
  <conditionalFormatting sqref="G1:G1048576">
    <cfRule type="cellIs" dxfId="1" priority="1" operator="equal">
      <formula>"+"</formula>
    </cfRule>
    <cfRule type="cellIs" dxfId="0" priority="2" operator="equal">
      <formula>"-"</formula>
    </cfRule>
  </conditionalFormatting>
  <pageMargins left="0.70866141732283472" right="0.70866141732283472" top="0.78740157480314965" bottom="0.78740157480314965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Pierdiluca Dominik</dc:creator>
  <cp:lastModifiedBy>Pierdiluca Dominik</cp:lastModifiedBy>
  <cp:lastPrinted>2023-12-05T17:25:03Z</cp:lastPrinted>
  <dcterms:created xsi:type="dcterms:W3CDTF">2023-12-05T09:26:52Z</dcterms:created>
  <dcterms:modified xsi:type="dcterms:W3CDTF">2023-12-05T17:25:08Z</dcterms:modified>
</cp:coreProperties>
</file>