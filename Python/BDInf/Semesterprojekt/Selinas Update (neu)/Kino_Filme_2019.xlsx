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kaise\bigData\Semesterprojekt\"/>
    </mc:Choice>
  </mc:AlternateContent>
  <xr:revisionPtr revIDLastSave="0" documentId="8_{AF4E8C98-6768-49AB-AA2A-EDD8ED2BF743}" xr6:coauthVersionLast="47" xr6:coauthVersionMax="47" xr10:uidLastSave="{00000000-0000-0000-0000-000000000000}"/>
  <bookViews>
    <workbookView xWindow="-98" yWindow="-98" windowWidth="20715" windowHeight="13276"/>
  </bookViews>
  <sheets>
    <sheet name="Tabellentitel" sheetId="1" r:id="rId1"/>
    <sheet name="Tabelle_K1" sheetId="2" r:id="rId2"/>
    <sheet name="Tabelle_K2" sheetId="3" r:id="rId3"/>
    <sheet name="Tabelle_K3" sheetId="4" r:id="rId4"/>
    <sheet name="Tabelle_K4" sheetId="5" r:id="rId5"/>
    <sheet name="Tabelle_K5" sheetId="6" r:id="rId6"/>
    <sheet name="Tabelle_K6" sheetId="7" r:id="rId7"/>
    <sheet name="Tabelle_K7" sheetId="8" r:id="rId8"/>
    <sheet name="Tabelle_K8" sheetId="9" r:id="rId9"/>
    <sheet name="Tabelle_K9" sheetId="10" r:id="rId10"/>
    <sheet name="Tabelle_K10" sheetId="11" r:id="rId11"/>
  </sheets>
  <definedNames>
    <definedName name="_1525976_STF_Fuss_1_CN1">Tabelle_K5!$A$29:$K$29</definedName>
    <definedName name="_1525976_STF_Fuss_1_CN2">Tabelle_K5!$A$30:$K$30</definedName>
    <definedName name="_1525976_STF_Tabellenkopf_1_CN1">Tabelle_K5!$A$3:$K$4</definedName>
    <definedName name="_1525976_STF_Titel_1_CN1">Tabelle_K5!$A$1:$K$1</definedName>
    <definedName name="_1525976_STF_Vorspalte_1_CN1">Tabelle_K5!$A$5:$A$26</definedName>
    <definedName name="_1525976_STF_Vorspalte_1_CN2">Tabelle_K5!$A$27</definedName>
    <definedName name="_29d09c75_STF_Fuss_1_CN1">Tabelle_K10!$A$47:$K$47</definedName>
    <definedName name="_29d09c75_STF_Koerper_1_CN1">Tabelle_K10!$B$45:$M$45</definedName>
    <definedName name="_29d09c75_STF_Tabellenkopf_1_CN1">Tabelle_K10!$A$3:$M$6</definedName>
    <definedName name="_29d09c75_STF_Titel_1_CN1">Tabelle_K10!$A$1:$K$1</definedName>
    <definedName name="_29d09c75_STF_Vorspalte_1_CN1">Tabelle_K10!$A$7:$A$44</definedName>
    <definedName name="_29d09c75_STF_Vorspalte_1_CN2">Tabelle_K10!$A$45</definedName>
    <definedName name="_63f9d6f_STF_Fuss_1_CN1">Tabelle_K1!$A$24:$K$24</definedName>
    <definedName name="_63f9d6f_STF_Tabellenkopf_1_CN1">Tabelle_K1!$A$3:$K$3</definedName>
    <definedName name="_63f9d6f_STF_Titel_1_CN1">Tabelle_K1!$A$1:$K$1</definedName>
    <definedName name="_63f9d6f_STF_Vorspalte_1_CN1">Tabelle_K1!$A$4:$A$22</definedName>
    <definedName name="_765569e0_STF_Fuss_1_CN1">Tabelle_K4!$A$31:$K$31</definedName>
    <definedName name="_765569e0_STF_Koerper_1_CN1">Tabelle_K4!$B$29:$K$29</definedName>
    <definedName name="_765569e0_STF_Tabellenkopf_1_CN1">Tabelle_K4!$A$3:$K$4</definedName>
    <definedName name="_765569e0_STF_Titel_1_CN1">Tabelle_K4!$A$1:$K$1</definedName>
    <definedName name="_765569e0_STF_Vorspalte_1_CN1">Tabelle_K4!$A$5:$A$28</definedName>
    <definedName name="_765569e0_STF_Vorspalte_1_CN2">Tabelle_K4!$A$29</definedName>
    <definedName name="_7fe325cb_STF_Fuss_1_CN1">Tabelle_K8!$A$55:$D$55</definedName>
    <definedName name="_7fe325cb_STF_Fuss_1_CN2">Tabelle_K8!$A$55:$D$55</definedName>
    <definedName name="_7fe325cb_STF_Fuss_1_CN3">Tabelle_K8!$A$55:$D$55</definedName>
    <definedName name="_7fe325cb_STF_Tabellenkopf_1_CN1">Tabelle_K8!$A$3:$D$3</definedName>
    <definedName name="_7fe325cb_STF_Tabellenkopf_1_CN2">Tabelle_K8!$A$3:$D$3</definedName>
    <definedName name="_7fe325cb_STF_Titel_1_CN1">Tabelle_K8!$A$1:$D$1</definedName>
    <definedName name="_7fe325cb_STF_Titel_1_CN2">Tabelle_K8!$A$1:$D$1</definedName>
    <definedName name="_7fe325cb_STF_Vorspalte_1_CN1">Tabelle_K8!$A$4:$C$53</definedName>
    <definedName name="_8e4155d_STF_Fuss_1_CN1">Tabelle_K9!$A$42:$D$42</definedName>
    <definedName name="_8e4155d_STF_Tabellenkopf_1_CN1">Tabelle_K9!$A$3:$D$3</definedName>
    <definedName name="_8e4155d_STF_Titel_1_CN1">Tabelle_K9!$A$1:$D$1</definedName>
    <definedName name="_8e4155d_STF_Vorspalte_1_CN1">Tabelle_K9!$A$4:$B$40</definedName>
    <definedName name="_985b08cc_STF_Dekoration_1_CN1">Tabelle_K6!$A$6:$O$6,Tabelle_K6!$A$39:$O$39,Tabelle_K6!$A$46:$O$46,Tabelle_K6!$A$57:$O$57,Tabelle_K6!$A$75:$O$75,Tabelle_K6!$A$5:$O$5</definedName>
    <definedName name="_985b08cc_STF_Fuss_1_CN1">Tabelle_K6!$A$79:$M$79</definedName>
    <definedName name="_985b08cc_STF_Fuss_1_CN2">Tabelle_K6!$A$79:$O$79</definedName>
    <definedName name="_985b08cc_STF_Gesamtsumme_1_CN1">Tabelle_K6!$A$5:$M$5</definedName>
    <definedName name="_985b08cc_STF_Gesamtsumme_1_CN2">Tabelle_K6!$A$5:$O$5</definedName>
    <definedName name="_985b08cc_STF_Koerper_1_CN1">Tabelle_K6!$B$7:$O$38,Tabelle_K6!$B$40:$O$45,Tabelle_K6!$B$47:$O$56,Tabelle_K6!$B$58:$O$74,Tabelle_K6!$B$76:$O$77</definedName>
    <definedName name="_985b08cc_STF_Tabellenkopf_1_CN1">Tabelle_K6!$A$3:$M$4</definedName>
    <definedName name="_985b08cc_STF_Tabellenkopf_1_CN2">Tabelle_K6!$A$3:$O$4</definedName>
    <definedName name="_985b08cc_STF_Titel_1_CN3">Tabelle_K6!$A$1:$O$1</definedName>
    <definedName name="_985b08cc_STF_Titel_1_CN4">Tabelle_K6!$A$1:$O$1</definedName>
    <definedName name="_985b08cc_STF_Titel_1_CN5">Tabelle_K6!$A$1:$O$1</definedName>
    <definedName name="_985b08cc_STF_Vorspalte_1_CN1">Tabelle_K6!$A$5:$A$77</definedName>
    <definedName name="_985b08cc_STF_Vorspalte_1_CN2">Tabelle_K6!$A$7:$A$38,Tabelle_K6!$A$40:$A$45,Tabelle_K6!$A$47:$A$56,Tabelle_K6!$A$58:$A$74,Tabelle_K6!$A$76:$A$77</definedName>
    <definedName name="_985b08cc_STF_Zwischensumme_1_CN3">Tabelle_K6!$A$6:$M$6</definedName>
    <definedName name="_985b08cc_STF_Zwischensumme_1_CN4">Tabelle_K6!$A$39:$M$39</definedName>
    <definedName name="_985b08cc_STF_Zwischensumme_1_CN5">Tabelle_K6!$A$46:$M$46</definedName>
    <definedName name="_985b08cc_STF_Zwischensumme_1_CN6">Tabelle_K6!$A$57:$M$57</definedName>
    <definedName name="_985b08cc_STF_Zwischensumme_1_CN7">Tabelle_K6!$A$75:$M$75</definedName>
    <definedName name="_985b08cc_STF_Zwischensumme_1_CN8">Tabelle_K6!$A$6:$O$6,Tabelle_K6!$A$39:$O$39,Tabelle_K6!$A$46:$O$46,Tabelle_K6!$A$57:$O$57,Tabelle_K6!$A$75:$O$75</definedName>
    <definedName name="_9f36ccd5_STF_Fuss_1_CN1">Tabelle_K2!$A$30:$K$31</definedName>
    <definedName name="_9f36ccd5_STF_Koerper_1_CN1">Tabelle_K2!$B$28:$K$28</definedName>
    <definedName name="_9f36ccd5_STF_Tabellenkopf_1_CN1">Tabelle_K2!$A$3:$K$3</definedName>
    <definedName name="_9f36ccd5_STF_Titel_1_CN1">Tabelle_K2!$A$1:$K$1</definedName>
    <definedName name="_9f36ccd5_STF_Vorspalte_1_CN1">Tabelle_K2!$A$4:$A$27</definedName>
    <definedName name="_9f36ccd5_STF_Vorspalte_1_CN2">Tabelle_K2!$A$28</definedName>
    <definedName name="_e831fc43_STF_Fuss_1_CN1">Tabelle_K3!$A$30:$K$30</definedName>
    <definedName name="_e831fc43_STF_Koerper_1_CN1">Tabelle_K3!$B$28:$K$28</definedName>
    <definedName name="_e831fc43_STF_Tabellenkopf_1_CN1">Tabelle_K3!$A$3:$K$3</definedName>
    <definedName name="_e831fc43_STF_Titel_1_CN1">Tabelle_K3!$A$1:$K$1</definedName>
    <definedName name="_e831fc43_STF_Vorspalte_1_CN1">Tabelle_K3!$A$4:$A$27</definedName>
    <definedName name="_e831fc43_STF_Vorspalte_1_CN2">Tabelle_K3!$A$28</definedName>
    <definedName name="_ef5c385a_STF_Fuss_1_CN1">Tabelle_K7!$A$22:$D$23</definedName>
    <definedName name="_ef5c385a_STF_Gesamtsumme_1_CN1">Tabelle_K7!$A$5:$D$5</definedName>
    <definedName name="_ef5c385a_STF_Tabellenkopf_1_CN1">Tabelle_K7!$A$3:$D$4</definedName>
    <definedName name="_ef5c385a_STF_Titel_1_CN1">Tabelle_K7!$A$1:$D$1</definedName>
    <definedName name="_ef5c385a_STF_Vorspalte_1_CN1">Tabelle_K7!$A$6:$A$20</definedName>
    <definedName name="_ef5c385a_STF_Vorspalte_1_CN2">Tabelle_K7!$A$5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5" l="1"/>
  <c r="B28" i="4"/>
  <c r="B28" i="3"/>
  <c r="B19" i="2"/>
  <c r="B18" i="2"/>
  <c r="B17" i="2"/>
  <c r="B16" i="2"/>
  <c r="B15" i="2"/>
  <c r="B13" i="2"/>
  <c r="B12" i="2"/>
  <c r="B11" i="2"/>
  <c r="B10" i="2"/>
  <c r="B9" i="2"/>
  <c r="B8" i="2"/>
  <c r="B7" i="2"/>
  <c r="B6" i="2"/>
  <c r="B4" i="2"/>
</calcChain>
</file>

<file path=xl/sharedStrings.xml><?xml version="1.0" encoding="utf-8"?>
<sst xmlns="http://schemas.openxmlformats.org/spreadsheetml/2006/main" count="1113" uniqueCount="254">
  <si>
    <t>Tabelleninhaltsverzeichnis</t>
  </si>
  <si>
    <t xml:space="preserve">K1.  Struktur der Kinos (Anzahl der Säle, Sitzplatzkapazität, Bespielung) 2019 nach Bundesländern </t>
  </si>
  <si>
    <t>K2.  Kinosäle nach Bundesländern 1975 bis 2019</t>
  </si>
  <si>
    <t>K3.  Sitzplatzkapazität der Kinos nach Bundesländern 1975 bis 2019</t>
  </si>
  <si>
    <t>K4.  Kinobesuche nach Bundesländern 1975 bis 2019</t>
  </si>
  <si>
    <t>K5.  Nettoeinnahmen der Kinos nach Bundesländern 1985 bis 2019</t>
  </si>
  <si>
    <t>K6.  In Österreich erstaufgeführte Kinofilme nach Herkunftsländern 2005 bis 2019</t>
  </si>
  <si>
    <t>K7.  Marktanteile der erstaufgeführten Kinofilme 2019 nach Herkunftsländern</t>
  </si>
  <si>
    <t>K8.  Erfolgreichste Kinofilme in Österreich 2019</t>
  </si>
  <si>
    <t>K9.  Meistbesuchte österreichische Kinofilme 2019</t>
  </si>
  <si>
    <t>K10.  Filmförderung und Filmfinanzierung aus öffentlichen Mitteln 1981 bis 2019</t>
  </si>
  <si>
    <t>Gliederung</t>
  </si>
  <si>
    <t>Öster-
reich</t>
  </si>
  <si>
    <t>Burgen-
land</t>
  </si>
  <si>
    <t>Kärnten</t>
  </si>
  <si>
    <t>Nieder-
österreich</t>
  </si>
  <si>
    <t>Ober-
österreich</t>
  </si>
  <si>
    <t>Salzburg</t>
  </si>
  <si>
    <t>Steier-
mark</t>
  </si>
  <si>
    <t>Tirol</t>
  </si>
  <si>
    <t>Vorarl-
berg</t>
  </si>
  <si>
    <t>Wien</t>
  </si>
  <si>
    <t>Kinos insgesamt</t>
  </si>
  <si>
    <t xml:space="preserve">davon mit ... </t>
  </si>
  <si>
    <t>1 Saal</t>
  </si>
  <si>
    <t>2 Sälen</t>
  </si>
  <si>
    <t>3 bis 5 Sälen</t>
  </si>
  <si>
    <t>6 und 7 Sälen</t>
  </si>
  <si>
    <t>8 und mehr Sälen</t>
  </si>
  <si>
    <t>Kinos mit Digitalprojektion</t>
  </si>
  <si>
    <t>Kinosäle insgesamt</t>
  </si>
  <si>
    <t>Sitzplätze insgesamt</t>
  </si>
  <si>
    <t xml:space="preserve">davon in Kinos mit ... </t>
  </si>
  <si>
    <t>Sitzplätze pro 1.000 der Bevölkerung</t>
  </si>
  <si>
    <t>Besuche (in 1.000)</t>
  </si>
  <si>
    <t>Besuche pro 1.000 der Bevölkerung</t>
  </si>
  <si>
    <t>Q: Fachverband der Kino-, Kultur- und Vergnügungsbetriebe. Erstellt am 14.12.2020. Kinos zu Jahresende 2019. Stationäre, gewerbliche, in Betrieb befindliche Normalfilm-Lichtspieltheater, ohne Sonderformen wie Sommerkino, Open-Air-Veranstaltungen, Filmclubs usw.; inklusive Autokino (Sitzplätze: ohne Autokino). Kinos mit unbekannter Zahl an Sälen wurden als Betrieb mit einem Saal gezählt. Besuchszahlen einschließlich Sonderformen.</t>
  </si>
  <si>
    <r>
      <t>Jahr</t>
    </r>
    <r>
      <rPr>
        <vertAlign val="superscript"/>
        <sz val="7"/>
        <color rgb="FF000000"/>
        <rFont val="Arial"/>
        <family val="2"/>
      </rPr>
      <t>1</t>
    </r>
    <r>
      <rPr>
        <sz val="7"/>
        <color rgb="FF000000"/>
        <rFont val="Arial"/>
        <family val="2"/>
      </rPr>
      <t>)</t>
    </r>
  </si>
  <si>
    <t xml:space="preserve">Q: Fachverband der Kino-, Kultur- und Vergnügungsbetriebe; Staatlich genehmigte Gesellschaft der Autoren, Komponisten, Musikverleger (AKM). Erstellt am 14.12.2020. Kinos zu Jahresende, ohne Sonderformen wie Sommerkino, Open-Air-Veranstaltungen, Filmclubs usw.; inkl. Autokino. Kinos mit unbekannter Anzahl an Sälen wurden als ein Kinosaal gezählt. - 1) Kinosäle bis 1998 einschließlich Wanderkinos. </t>
  </si>
  <si>
    <t xml:space="preserve">Jahr </t>
  </si>
  <si>
    <t xml:space="preserve">Q: Fachverband der Kino-, Kultur- und Vergnügungsbetriebe; Staatlich genehmigte Gesellschaft der Autoren, Komponisten, Musikverleger (AKM). Erstellt am 14.12.2020. Kinos zu Jahresende, ohne Sonderformen wie Sommerkino, Open-Air-Veranstaltungen, Filmclubs usw.; inkl. Autokino.  </t>
  </si>
  <si>
    <t>Q: Fachverband der Kino-, Kultur- und Vergnügungsbetriebe; Staatlich genehmigte Gesellschaft der Autoren, Komponisten, Musikverleger (AKM). Erstellt am 14.12.2020.</t>
  </si>
  <si>
    <r>
      <t xml:space="preserve">Jahr </t>
    </r>
    <r>
      <rPr>
        <vertAlign val="superscript"/>
        <sz val="7"/>
        <color rgb="FF000000"/>
        <rFont val="Arial"/>
        <family val="2"/>
      </rPr>
      <t>1</t>
    </r>
    <r>
      <rPr>
        <sz val="7"/>
        <color rgb="FF000000"/>
        <rFont val="Arial"/>
        <family val="2"/>
      </rPr>
      <t>)</t>
    </r>
  </si>
  <si>
    <t>1.000 EUR-ATS</t>
  </si>
  <si>
    <t>Q: Fachverband der Kino-, Kultur- und Vergnügungsbetriebe; Staatlich genehmigte Gesellschaft der Autoren, Komponisten, Musikverleger (AKM). Erstellt am 14.12.2020. 1) Bis 1988 Einnahmen inklusive Mehrwertsteuer, Vergnügungssteuer und Kriegsopferabgabe (Brutto).</t>
  </si>
  <si>
    <t>Herkunftsland</t>
  </si>
  <si>
    <t>Filme</t>
  </si>
  <si>
    <t>Besuche
in 1.000</t>
  </si>
  <si>
    <t>Insgesamt</t>
  </si>
  <si>
    <t>Europa</t>
  </si>
  <si>
    <t>Albanien</t>
  </si>
  <si>
    <t>-</t>
  </si>
  <si>
    <t>Belgien</t>
  </si>
  <si>
    <t>Bulgarien</t>
  </si>
  <si>
    <t>Dänemark</t>
  </si>
  <si>
    <t>Deutschland</t>
  </si>
  <si>
    <t>Estland</t>
  </si>
  <si>
    <t>Finnland</t>
  </si>
  <si>
    <t>Frankreich</t>
  </si>
  <si>
    <t>Griechenland</t>
  </si>
  <si>
    <t>Irland</t>
  </si>
  <si>
    <t>Island</t>
  </si>
  <si>
    <t>Italien</t>
  </si>
  <si>
    <t>Kroatien</t>
  </si>
  <si>
    <t>Litauen</t>
  </si>
  <si>
    <t>Luxemburg</t>
  </si>
  <si>
    <t>Mazedonien</t>
  </si>
  <si>
    <t>Niederlande</t>
  </si>
  <si>
    <t>Norwegen</t>
  </si>
  <si>
    <t>Österreich</t>
  </si>
  <si>
    <t>Polen</t>
  </si>
  <si>
    <t>Portugal</t>
  </si>
  <si>
    <t>Rumänien</t>
  </si>
  <si>
    <t>Russland</t>
  </si>
  <si>
    <t>Schweden</t>
  </si>
  <si>
    <t>Schweiz</t>
  </si>
  <si>
    <t>Serbien</t>
  </si>
  <si>
    <t>Slowakei</t>
  </si>
  <si>
    <t>Spanien</t>
  </si>
  <si>
    <t>Tschechien</t>
  </si>
  <si>
    <t>Türkei</t>
  </si>
  <si>
    <t>Ungarn</t>
  </si>
  <si>
    <t>Vereinigtes Königreich</t>
  </si>
  <si>
    <t>Afrika</t>
  </si>
  <si>
    <t>Ägypten</t>
  </si>
  <si>
    <t>Äthiopien</t>
  </si>
  <si>
    <t>Senegal</t>
  </si>
  <si>
    <t>Seychellen</t>
  </si>
  <si>
    <t>Südafrika</t>
  </si>
  <si>
    <t>Tunesien</t>
  </si>
  <si>
    <t>Amerika</t>
  </si>
  <si>
    <t>Argentinien</t>
  </si>
  <si>
    <t>Brasilien</t>
  </si>
  <si>
    <t>Chile</t>
  </si>
  <si>
    <t>Guatemala</t>
  </si>
  <si>
    <t>Kanada</t>
  </si>
  <si>
    <t>Kolumbien</t>
  </si>
  <si>
    <t>Mexiko</t>
  </si>
  <si>
    <t>Uruguay</t>
  </si>
  <si>
    <t>USA</t>
  </si>
  <si>
    <t>Venezuela</t>
  </si>
  <si>
    <t>Asien</t>
  </si>
  <si>
    <t>China</t>
  </si>
  <si>
    <t>Georgien</t>
  </si>
  <si>
    <t>Hong Kong</t>
  </si>
  <si>
    <t>Indien</t>
  </si>
  <si>
    <t>Iran</t>
  </si>
  <si>
    <t>Israel</t>
  </si>
  <si>
    <t>Japan</t>
  </si>
  <si>
    <t>Kirgistan</t>
  </si>
  <si>
    <t>Libanon</t>
  </si>
  <si>
    <t>Pakistan</t>
  </si>
  <si>
    <t>Palästina</t>
  </si>
  <si>
    <t>Philippinen</t>
  </si>
  <si>
    <t>Saudi-Arabien</t>
  </si>
  <si>
    <t>Singapur</t>
  </si>
  <si>
    <t>Südkorea</t>
  </si>
  <si>
    <t>Taiwan</t>
  </si>
  <si>
    <t>Thailand</t>
  </si>
  <si>
    <t>Ozeanien</t>
  </si>
  <si>
    <t>Australien</t>
  </si>
  <si>
    <t>Neuseeland</t>
  </si>
  <si>
    <t>Q: Österreichisches Filminstitut; Rentrak. Erstellt am 14.12.2020. Bei Koproduktionen wird der majoritäre Koproduktionspartner erfasst.</t>
  </si>
  <si>
    <t>Anzahl der Filme</t>
  </si>
  <si>
    <t>Besuche</t>
  </si>
  <si>
    <t>%</t>
  </si>
  <si>
    <t>Sonstige</t>
  </si>
  <si>
    <t>Filmtitel</t>
  </si>
  <si>
    <t>Genre</t>
  </si>
  <si>
    <t>König der Löwen, Der</t>
  </si>
  <si>
    <t>Abenteuer</t>
  </si>
  <si>
    <t>Eiskönigin 2, Die</t>
  </si>
  <si>
    <t>Animation</t>
  </si>
  <si>
    <t>Avengers: Endgame</t>
  </si>
  <si>
    <t>Action</t>
  </si>
  <si>
    <t>Joker</t>
  </si>
  <si>
    <t>Spannung</t>
  </si>
  <si>
    <t>Perfekte Geheimnis, Das</t>
  </si>
  <si>
    <t>Komödie</t>
  </si>
  <si>
    <t>Star Wars: Der Aufstieg Skywalkers</t>
  </si>
  <si>
    <t>Pets 2</t>
  </si>
  <si>
    <t>Captain Marvel</t>
  </si>
  <si>
    <t>Drachenzähmen leicht gemacht 3: Die geheime Welt</t>
  </si>
  <si>
    <t>USA, Japan</t>
  </si>
  <si>
    <t>Aladdin</t>
  </si>
  <si>
    <t>Once Upon A Time ... In Hollywood</t>
  </si>
  <si>
    <t>Drama</t>
  </si>
  <si>
    <t>Fast &amp; Furious: Hobbs &amp; Shaw</t>
  </si>
  <si>
    <t>Spider-Man: Far From Home</t>
  </si>
  <si>
    <t>Jumanji: The Next Level</t>
  </si>
  <si>
    <t>Leberkäsjunkie</t>
  </si>
  <si>
    <t>Monsieur Claude 2</t>
  </si>
  <si>
    <t>ES: Kapitel 2</t>
  </si>
  <si>
    <t>Horror</t>
  </si>
  <si>
    <t>Glam Girls - Hinreißend verdorben</t>
  </si>
  <si>
    <t>Chaos im Netz</t>
  </si>
  <si>
    <t>John Wick: Kapitel 3</t>
  </si>
  <si>
    <t>Last Christmas</t>
  </si>
  <si>
    <t>USA, Vereinigtes Königreich</t>
  </si>
  <si>
    <t>Romantische Komödie</t>
  </si>
  <si>
    <t>Pokémon Meisterdetektiv Pikachu</t>
  </si>
  <si>
    <t>Love Machine</t>
  </si>
  <si>
    <t>Green Book - Eine besondere Freundschaft</t>
  </si>
  <si>
    <t>After Passion</t>
  </si>
  <si>
    <t>Maleficent - Mächte der Finsternis</t>
  </si>
  <si>
    <t>Asterix &amp; Das Geheimnis des Zaubertranks</t>
  </si>
  <si>
    <t>Toy Story, A: Alles hört auf kein Kommando</t>
  </si>
  <si>
    <t>Yesterday</t>
  </si>
  <si>
    <t>Dumbo</t>
  </si>
  <si>
    <t>Familie</t>
  </si>
  <si>
    <t>Bohemian Rhapsody</t>
  </si>
  <si>
    <t>Annabelle 3</t>
  </si>
  <si>
    <t>Glass</t>
  </si>
  <si>
    <t>Angry Birds 2 - Der Film</t>
  </si>
  <si>
    <t>Plötzlich Familie</t>
  </si>
  <si>
    <t>Alita: Battle Angel</t>
  </si>
  <si>
    <t>Aquaman</t>
  </si>
  <si>
    <t>Drei Schritte zu Dir</t>
  </si>
  <si>
    <t>Addams Family, Die</t>
  </si>
  <si>
    <t>Good Boys</t>
  </si>
  <si>
    <t>Escape Room</t>
  </si>
  <si>
    <t>Rambo: Last Blood</t>
  </si>
  <si>
    <t>Creed II - Rocky's Legacy</t>
  </si>
  <si>
    <t>Gut gegen Nordwind</t>
  </si>
  <si>
    <t>Angel has fallen</t>
  </si>
  <si>
    <t>Terminator: Dark Fate</t>
  </si>
  <si>
    <t>Men in Black: International</t>
  </si>
  <si>
    <t>Science Fiction</t>
  </si>
  <si>
    <t>Mia und der weiße Löwe</t>
  </si>
  <si>
    <t>Lego Movie 2, The</t>
  </si>
  <si>
    <t>Rocketman</t>
  </si>
  <si>
    <t>Q: Österreichisches Filminstitut; Rentrak. Erstellt am 14.12.2020. Besuche 2019 decken den Zeitraum von 04.01.2019 bis 02.01.2020 ab. Die kumulierten Besuche über das Kalenderjahr hinaus (bei früherem Kinostart oder längerer Laufzeit) werden nicht ausgewiesen.</t>
  </si>
  <si>
    <t>Besuche 2019</t>
  </si>
  <si>
    <t>Besuche seit Kinostart</t>
  </si>
  <si>
    <t>Ich war noch niemals in New York</t>
  </si>
  <si>
    <t>Musical</t>
  </si>
  <si>
    <t>But Beautiful</t>
  </si>
  <si>
    <t>Dokumentation</t>
  </si>
  <si>
    <t>Womit haben wir das verdient?</t>
  </si>
  <si>
    <t>Wie ich lernte, bei mir selbst Kind zu sein</t>
  </si>
  <si>
    <t>Welcome to Sodom</t>
  </si>
  <si>
    <t>Kalte Füße</t>
  </si>
  <si>
    <t>Kaviar</t>
  </si>
  <si>
    <t>Manaslu - Berg der Seelen</t>
  </si>
  <si>
    <t>Joy (dir. Mortezai)</t>
  </si>
  <si>
    <t>Boden unter den Füßen, Der</t>
  </si>
  <si>
    <t>Glück gehabt</t>
  </si>
  <si>
    <t>Gehört, Gesehen - Ein Radiofilm</t>
  </si>
  <si>
    <t>Inland</t>
  </si>
  <si>
    <t>Nevrland</t>
  </si>
  <si>
    <t>Erde</t>
  </si>
  <si>
    <t>Little Joe</t>
  </si>
  <si>
    <t>Backstage Wiener Staatsoper</t>
  </si>
  <si>
    <t>Nobadi</t>
  </si>
  <si>
    <t>Sea of Shadows</t>
  </si>
  <si>
    <t>Tage wie das Jahr, Die</t>
  </si>
  <si>
    <t>Big Jump, The</t>
  </si>
  <si>
    <t>Ute Bock Superstar</t>
  </si>
  <si>
    <t>Kinder der Toten, Die</t>
  </si>
  <si>
    <t>Lillian</t>
  </si>
  <si>
    <t>Taucher, Der</t>
  </si>
  <si>
    <t>Kleine Germanen</t>
  </si>
  <si>
    <t>Gipsy Queen</t>
  </si>
  <si>
    <t>Bewegungen eines nahen Bergs</t>
  </si>
  <si>
    <t>Trafikant, Der</t>
  </si>
  <si>
    <t>Sie ist der andere Blick</t>
  </si>
  <si>
    <t>Bier!!! Der beste Film, der je gebraut wurde</t>
  </si>
  <si>
    <t>Dieser Film ist ein Geschenk</t>
  </si>
  <si>
    <t>Burg, Die</t>
  </si>
  <si>
    <t>Anomalie</t>
  </si>
  <si>
    <t>Styx</t>
  </si>
  <si>
    <t>Dunkle Paradies, Das</t>
  </si>
  <si>
    <t>Q: Österreichisches Filminstitut; Rentrak. Erstellt am 14.12.2020. Besuche 2019 decken den Zeitraum von 04.01.2019 bis 02.01.2020 ab. Als österreichischer Film zählen alle Produktionen, bei denen das Herkunftsland Österreich ist bzw. bei Kooperationsprojekten, wenn Österreich entweder als majoritäres Land oder als Kooperationspartner beteiligt ist.</t>
  </si>
  <si>
    <t>Jahr</t>
  </si>
  <si>
    <r>
      <t>Insgesamt</t>
    </r>
    <r>
      <rPr>
        <vertAlign val="superscript"/>
        <sz val="7"/>
        <color rgb="FF000000"/>
        <rFont val="Arial"/>
        <family val="2"/>
      </rPr>
      <t>1</t>
    </r>
    <r>
      <rPr>
        <sz val="7"/>
        <color rgb="FF000000"/>
        <rFont val="Arial"/>
        <family val="2"/>
      </rPr>
      <t>)</t>
    </r>
  </si>
  <si>
    <t>darunter</t>
  </si>
  <si>
    <r>
      <t>Österreichisches 
Filminstitut</t>
    </r>
    <r>
      <rPr>
        <vertAlign val="superscript"/>
        <sz val="7"/>
        <color rgb="FF000000"/>
        <rFont val="Arial"/>
        <family val="2"/>
      </rPr>
      <t>2</t>
    </r>
    <r>
      <rPr>
        <sz val="7"/>
        <color rgb="FF000000"/>
        <rFont val="Arial"/>
        <family val="2"/>
      </rPr>
      <t>)</t>
    </r>
  </si>
  <si>
    <r>
      <t>Filmfonds Wien</t>
    </r>
    <r>
      <rPr>
        <vertAlign val="superscript"/>
        <sz val="7"/>
        <color rgb="FF000000"/>
        <rFont val="Arial"/>
        <family val="2"/>
      </rPr>
      <t>3</t>
    </r>
    <r>
      <rPr>
        <sz val="7"/>
        <color rgb="FF000000"/>
        <rFont val="Arial"/>
        <family val="2"/>
      </rPr>
      <t>)</t>
    </r>
  </si>
  <si>
    <t>Film/Fernseh-
Abkommen</t>
  </si>
  <si>
    <t>Fernsehfonds
Austria</t>
  </si>
  <si>
    <r>
      <t>Filmstandort
Austria</t>
    </r>
    <r>
      <rPr>
        <vertAlign val="superscript"/>
        <sz val="7"/>
        <color rgb="FF000000"/>
        <rFont val="Arial"/>
        <family val="2"/>
      </rPr>
      <t>4</t>
    </r>
    <r>
      <rPr>
        <sz val="7"/>
        <color rgb="FF000000"/>
        <rFont val="Arial"/>
        <family val="2"/>
      </rPr>
      <t>)</t>
    </r>
  </si>
  <si>
    <t>jährliche
Dotierung</t>
  </si>
  <si>
    <t>Förderungs-
zusagen</t>
  </si>
  <si>
    <r>
      <t>jährliche
Dotierung</t>
    </r>
    <r>
      <rPr>
        <vertAlign val="superscript"/>
        <sz val="7"/>
        <color rgb="FF000000"/>
        <rFont val="Arial"/>
        <family val="2"/>
      </rPr>
      <t>5</t>
    </r>
    <r>
      <rPr>
        <sz val="7"/>
        <color rgb="FF000000"/>
        <rFont val="Arial"/>
        <family val="2"/>
      </rPr>
      <t>)</t>
    </r>
  </si>
  <si>
    <r>
      <t>jährliche
Dotierung</t>
    </r>
    <r>
      <rPr>
        <vertAlign val="superscript"/>
        <sz val="7"/>
        <color rgb="FF000000"/>
        <rFont val="Arial"/>
        <family val="2"/>
      </rPr>
      <t>6</t>
    </r>
    <r>
      <rPr>
        <sz val="7"/>
        <color rgb="FF000000"/>
        <rFont val="Arial"/>
        <family val="2"/>
      </rPr>
      <t>)</t>
    </r>
  </si>
  <si>
    <t xml:space="preserve">jährliche
Dotierung </t>
  </si>
  <si>
    <t>Mio. EUR-ATS</t>
  </si>
  <si>
    <t>.</t>
  </si>
  <si>
    <t>9)</t>
  </si>
  <si>
    <r>
      <t>1998</t>
    </r>
    <r>
      <rPr>
        <vertAlign val="superscript"/>
        <sz val="7"/>
        <color rgb="FF000000"/>
        <rFont val="Arial"/>
        <family val="2"/>
      </rPr>
      <t>7</t>
    </r>
    <r>
      <rPr>
        <sz val="7"/>
        <color rgb="FF000000"/>
        <rFont val="Arial"/>
        <family val="2"/>
      </rPr>
      <t>)</t>
    </r>
  </si>
  <si>
    <r>
      <t>1999</t>
    </r>
    <r>
      <rPr>
        <vertAlign val="superscript"/>
        <sz val="7"/>
        <color rgb="FF000000"/>
        <rFont val="Arial"/>
        <family val="2"/>
      </rPr>
      <t>7</t>
    </r>
    <r>
      <rPr>
        <sz val="7"/>
        <color rgb="FF000000"/>
        <rFont val="Arial"/>
        <family val="2"/>
      </rPr>
      <t>)</t>
    </r>
  </si>
  <si>
    <r>
      <t>2002</t>
    </r>
    <r>
      <rPr>
        <vertAlign val="superscript"/>
        <sz val="7"/>
        <color rgb="FF000000"/>
        <rFont val="Arial"/>
        <family val="2"/>
      </rPr>
      <t>7</t>
    </r>
    <r>
      <rPr>
        <sz val="7"/>
        <color rgb="FF000000"/>
        <rFont val="Arial"/>
        <family val="2"/>
      </rPr>
      <t>)</t>
    </r>
    <r>
      <rPr>
        <vertAlign val="superscript"/>
        <sz val="7"/>
        <color rgb="FF000000"/>
        <rFont val="Arial"/>
        <family val="2"/>
      </rPr>
      <t xml:space="preserve"> </t>
    </r>
  </si>
  <si>
    <r>
      <t>2012</t>
    </r>
    <r>
      <rPr>
        <vertAlign val="superscript"/>
        <sz val="7"/>
        <color rgb="FF000000"/>
        <rFont val="Arial"/>
        <family val="2"/>
      </rPr>
      <t>8</t>
    </r>
    <r>
      <rPr>
        <sz val="7"/>
        <color rgb="FF000000"/>
        <rFont val="Arial"/>
        <family val="2"/>
      </rPr>
      <t>)</t>
    </r>
  </si>
  <si>
    <t>Q: Österreichisches Filminstitut; Filmfonds Wien; RTR-GmbH; FISA. Erstellt am 14.12.2020. 1) Inklusive der Filmförderung der Bundesländer. Jährliche Dotierungen umfassen alle Auszahlungen an die Filmwirtschaft. - 2) Der Österreichische Filmförderungsfonds wurde 1993 in das Österreichische Filminstitut umgewandelt. - 3) Der Wiener Filmfinanzierungsfonds wurde mit dem Jahr 2000 in den Wiener Film Fonds umgewandelt. - 4) Die Förderinitiative Filmstandort Austria nahm im September 2010 die Tätigkeit auf. - 5) Aus Mitteln des ORF. - 6) Aus einem Teil der Rundfunkgebühren. - 7) Darunter Sondermittel in der Höhe von 4,36 Mio. Euro (1998), 4,29 Mio. Euro (1999), 2,18 Mio. Euro (2002). - 8) Keine Aufstellung der Zusagen für Niederösterreich, daher kein Gesamtbetrag. - 9) Im Betrag für 1988 aufsummiert.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</si>
</sst>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0.0,"/>
    <numFmt numFmtId="165" formatCode="0.0"/>
    <numFmt numFmtId="166" formatCode="#,##0.0"/>
    <numFmt numFmtId="167" formatCode="#,##0;[Red]&quot;-&quot;#,##0"/>
    <numFmt numFmtId="168" formatCode="&quot; &quot;#,##0.00&quot; &quot;;&quot;-&quot;#,##0.00&quot; &quot;;&quot; -&quot;00&quot; &quot;;&quot; &quot;@&quot; &quot;"/>
    <numFmt numFmtId="169" formatCode="#,###.00,,&quot; &quot;"/>
    <numFmt numFmtId="170" formatCode="#,##0.00,,&quot; &quot;"/>
    <numFmt numFmtId="171" formatCode="#,##0&quot;    &quot;"/>
    <numFmt numFmtId="172" formatCode="&quot;-&quot;"/>
    <numFmt numFmtId="173" formatCode="#,###.0,"/>
    <numFmt numFmtId="174" formatCode="&quot; &quot;#,##0&quot; &quot;;&quot;-&quot;#,##0&quot; &quot;;&quot; -&quot;00&quot; &quot;;&quot; &quot;@&quot; &quot;"/>
    <numFmt numFmtId="175" formatCode="#,###,"/>
  </numFmts>
  <fonts count="20" x14ac:knownFonts="1">
    <font>
      <sz val="12"/>
      <color rgb="FF000000"/>
      <name val="Arial"/>
      <family val="2"/>
    </font>
    <font>
      <sz val="12"/>
      <color rgb="FF000000"/>
      <name val="Arial"/>
      <family val="2"/>
    </font>
    <font>
      <u/>
      <sz val="12"/>
      <color rgb="FF0000FF"/>
      <name val="Arial"/>
      <family val="2"/>
    </font>
    <font>
      <sz val="11"/>
      <color rgb="FF000000"/>
      <name val="Arial"/>
      <family val="2"/>
    </font>
    <font>
      <sz val="10"/>
      <color rgb="FF000000"/>
      <name val="Arial"/>
      <family val="2"/>
    </font>
    <font>
      <sz val="20"/>
      <color rgb="FF000000"/>
      <name val="Arial"/>
      <family val="2"/>
    </font>
    <font>
      <sz val="10"/>
      <color rgb="FF0000FF"/>
      <name val="Arial"/>
      <family val="2"/>
    </font>
    <font>
      <b/>
      <sz val="9"/>
      <color rgb="FF000000"/>
      <name val="Arial"/>
      <family val="2"/>
    </font>
    <font>
      <sz val="9"/>
      <color rgb="FF000000"/>
      <name val="Arial"/>
      <family val="2"/>
    </font>
    <font>
      <b/>
      <sz val="9"/>
      <color rgb="FFFF0000"/>
      <name val="Arial"/>
      <family val="2"/>
    </font>
    <font>
      <b/>
      <sz val="8"/>
      <color rgb="FFFF0000"/>
      <name val="Arial"/>
      <family val="2"/>
    </font>
    <font>
      <sz val="7"/>
      <color rgb="FF000000"/>
      <name val="Arial"/>
      <family val="2"/>
    </font>
    <font>
      <b/>
      <sz val="7"/>
      <color rgb="FF000000"/>
      <name val="Arial"/>
      <family val="2"/>
    </font>
    <font>
      <b/>
      <sz val="7"/>
      <color rgb="FFFF0000"/>
      <name val="Arial"/>
      <family val="2"/>
    </font>
    <font>
      <vertAlign val="superscript"/>
      <sz val="7"/>
      <color rgb="FF000000"/>
      <name val="Arial"/>
      <family val="2"/>
    </font>
    <font>
      <b/>
      <sz val="7"/>
      <color rgb="FF0000FF"/>
      <name val="Arial"/>
      <family val="2"/>
    </font>
    <font>
      <sz val="8"/>
      <color rgb="FF000000"/>
      <name val="Arial"/>
      <family val="2"/>
    </font>
    <font>
      <b/>
      <sz val="8"/>
      <color rgb="FF0000FF"/>
      <name val="Arial"/>
      <family val="2"/>
    </font>
    <font>
      <sz val="8"/>
      <color rgb="FFFF0000"/>
      <name val="Arial"/>
      <family val="2"/>
    </font>
    <font>
      <sz val="7"/>
      <color rgb="FFFF0000"/>
      <name val="Arial"/>
      <family val="2"/>
    </font>
  </fonts>
  <fills count="2">
    <fill>
      <patternFill patternType="none"/>
    </fill>
    <fill>
      <patternFill patternType="gray125"/>
    </fill>
  </fills>
  <borders count="6">
    <border>
      <left/>
      <right/>
      <top/>
      <bottom/>
      <diagonal/>
    </border>
    <border>
      <left/>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7">
    <xf numFmtId="0" fontId="0" fillId="0" borderId="0"/>
    <xf numFmtId="168" fontId="1" fillId="0" borderId="0" applyFont="0" applyFill="0" applyBorder="0" applyAlignment="0" applyProtection="0"/>
    <xf numFmtId="0" fontId="2" fillId="0" borderId="0" applyNumberFormat="0" applyFill="0" applyBorder="0" applyAlignment="0" applyProtection="0"/>
    <xf numFmtId="0" fontId="3" fillId="0" borderId="0" applyNumberFormat="0" applyBorder="0" applyProtection="0"/>
    <xf numFmtId="0" fontId="3" fillId="0" borderId="0" applyNumberFormat="0" applyBorder="0" applyProtection="0"/>
    <xf numFmtId="0" fontId="3" fillId="0" borderId="0" applyNumberFormat="0" applyBorder="0" applyProtection="0"/>
    <xf numFmtId="0" fontId="4" fillId="0" borderId="0" applyNumberFormat="0" applyBorder="0" applyProtection="0"/>
  </cellStyleXfs>
  <cellXfs count="167">
    <xf numFmtId="0" fontId="0" fillId="0" borderId="0" xfId="0"/>
    <xf numFmtId="0" fontId="5" fillId="0" borderId="0" xfId="0" applyFont="1"/>
    <xf numFmtId="0" fontId="4" fillId="0" borderId="0" xfId="0" applyFont="1"/>
    <xf numFmtId="0" fontId="0" fillId="0" borderId="0" xfId="0" applyFill="1"/>
    <xf numFmtId="0" fontId="6" fillId="0" borderId="0" xfId="2" applyFont="1" applyAlignment="1">
      <alignment vertical="top"/>
    </xf>
    <xf numFmtId="0" fontId="4" fillId="0" borderId="0" xfId="0" applyFont="1" applyAlignment="1">
      <alignment horizontal="left" vertical="top"/>
    </xf>
    <xf numFmtId="0" fontId="4" fillId="0" borderId="0" xfId="0" applyFont="1" applyAlignment="1"/>
    <xf numFmtId="0" fontId="6" fillId="0" borderId="0" xfId="2" applyFont="1" applyAlignment="1"/>
    <xf numFmtId="0" fontId="4" fillId="0" borderId="0" xfId="5" applyFont="1" applyFill="1" applyAlignment="1">
      <alignment horizontal="left" vertical="top"/>
    </xf>
    <xf numFmtId="0" fontId="4" fillId="0" borderId="0" xfId="0" applyFont="1" applyAlignment="1">
      <alignment horizontal="left"/>
    </xf>
    <xf numFmtId="0" fontId="8" fillId="0" borderId="0" xfId="0" applyFont="1"/>
    <xf numFmtId="0" fontId="9" fillId="0" borderId="1" xfId="0" applyFont="1" applyBorder="1" applyAlignment="1">
      <alignment horizontal="left" vertical="top"/>
    </xf>
    <xf numFmtId="0" fontId="10" fillId="0" borderId="0" xfId="0" applyFont="1"/>
    <xf numFmtId="0" fontId="11" fillId="0" borderId="2" xfId="0" applyFont="1" applyBorder="1" applyAlignment="1">
      <alignment horizontal="center" vertical="center"/>
    </xf>
    <xf numFmtId="0" fontId="11" fillId="0" borderId="3" xfId="0" applyFont="1" applyBorder="1" applyAlignment="1">
      <alignment horizontal="center" vertical="center" wrapText="1"/>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0" xfId="0" applyFont="1"/>
    <xf numFmtId="49" fontId="12" fillId="0" borderId="0" xfId="0" applyNumberFormat="1" applyFont="1" applyFill="1" applyAlignment="1"/>
    <xf numFmtId="3" fontId="12" fillId="0" borderId="0" xfId="0" applyNumberFormat="1" applyFont="1" applyAlignment="1"/>
    <xf numFmtId="3" fontId="12" fillId="0" borderId="0" xfId="0" applyNumberFormat="1" applyFont="1" applyFill="1" applyAlignment="1">
      <alignment horizontal="right"/>
    </xf>
    <xf numFmtId="0" fontId="12" fillId="0" borderId="0" xfId="0" applyFont="1" applyAlignment="1"/>
    <xf numFmtId="49" fontId="11" fillId="0" borderId="0" xfId="0" applyNumberFormat="1" applyFont="1" applyAlignment="1"/>
    <xf numFmtId="0" fontId="11" fillId="0" borderId="0" xfId="0" applyFont="1" applyAlignment="1"/>
    <xf numFmtId="3" fontId="11" fillId="0" borderId="0" xfId="0" applyNumberFormat="1" applyFont="1" applyAlignment="1">
      <alignment horizontal="right"/>
    </xf>
    <xf numFmtId="171" fontId="11" fillId="0" borderId="0" xfId="0" applyNumberFormat="1" applyFont="1" applyFill="1" applyAlignment="1">
      <alignment horizontal="right"/>
    </xf>
    <xf numFmtId="49" fontId="11" fillId="0" borderId="0" xfId="0" applyNumberFormat="1" applyFont="1" applyAlignment="1">
      <alignment horizontal="left" indent="1"/>
    </xf>
    <xf numFmtId="3" fontId="11" fillId="0" borderId="0" xfId="0" applyNumberFormat="1" applyFont="1" applyFill="1" applyAlignment="1">
      <alignment horizontal="right"/>
    </xf>
    <xf numFmtId="172" fontId="11" fillId="0" borderId="0" xfId="0" applyNumberFormat="1" applyFont="1" applyFill="1" applyAlignment="1">
      <alignment horizontal="right"/>
    </xf>
    <xf numFmtId="0" fontId="11" fillId="0" borderId="0" xfId="0" applyFont="1" applyFill="1" applyAlignment="1"/>
    <xf numFmtId="0" fontId="11" fillId="0" borderId="0" xfId="0" applyFont="1" applyAlignment="1">
      <alignment horizontal="left" indent="1"/>
    </xf>
    <xf numFmtId="49" fontId="11" fillId="0" borderId="0" xfId="0" applyNumberFormat="1" applyFont="1" applyFill="1" applyAlignment="1"/>
    <xf numFmtId="3" fontId="13" fillId="0" borderId="0" xfId="0" applyNumberFormat="1" applyFont="1" applyFill="1" applyAlignment="1">
      <alignment horizontal="right"/>
    </xf>
    <xf numFmtId="49" fontId="11" fillId="0" borderId="0" xfId="0" applyNumberFormat="1" applyFont="1" applyFill="1" applyAlignment="1">
      <alignment horizontal="left" wrapText="1"/>
    </xf>
    <xf numFmtId="166" fontId="11" fillId="0" borderId="0" xfId="0" applyNumberFormat="1" applyFont="1" applyFill="1" applyAlignment="1">
      <alignment horizontal="right"/>
    </xf>
    <xf numFmtId="49" fontId="12" fillId="0" borderId="0" xfId="0" applyNumberFormat="1" applyFont="1" applyFill="1" applyAlignment="1">
      <alignment horizontal="left" wrapText="1"/>
    </xf>
    <xf numFmtId="173" fontId="12" fillId="0" borderId="0" xfId="0" applyNumberFormat="1" applyFont="1" applyFill="1" applyAlignment="1"/>
    <xf numFmtId="3" fontId="11" fillId="0" borderId="0" xfId="0" applyNumberFormat="1" applyFont="1" applyFill="1" applyAlignment="1"/>
    <xf numFmtId="2" fontId="11" fillId="0" borderId="0" xfId="0" applyNumberFormat="1" applyFont="1" applyAlignment="1">
      <alignment wrapText="1"/>
    </xf>
    <xf numFmtId="0" fontId="7" fillId="0" borderId="0" xfId="0" applyFont="1" applyAlignment="1">
      <alignment horizontal="left" vertical="top" wrapText="1"/>
    </xf>
    <xf numFmtId="2" fontId="11" fillId="0" borderId="0" xfId="0" applyNumberFormat="1" applyFont="1" applyAlignment="1">
      <alignment wrapText="1"/>
    </xf>
    <xf numFmtId="0" fontId="8" fillId="0" borderId="0" xfId="0" applyFont="1" applyAlignment="1">
      <alignment horizontal="left"/>
    </xf>
    <xf numFmtId="0" fontId="8" fillId="0" borderId="0" xfId="0" applyFont="1" applyAlignment="1">
      <alignment horizontal="right"/>
    </xf>
    <xf numFmtId="0" fontId="11" fillId="0" borderId="5" xfId="0" applyFont="1" applyBorder="1" applyAlignment="1">
      <alignment horizontal="center" vertical="center"/>
    </xf>
    <xf numFmtId="0" fontId="11" fillId="0" borderId="0" xfId="0" applyFont="1" applyAlignment="1">
      <alignment horizontal="left"/>
    </xf>
    <xf numFmtId="3" fontId="11" fillId="0" borderId="0" xfId="0" applyNumberFormat="1" applyFont="1" applyAlignment="1"/>
    <xf numFmtId="0" fontId="11" fillId="0" borderId="0" xfId="0" applyFont="1" applyAlignment="1">
      <alignment horizontal="right"/>
    </xf>
    <xf numFmtId="0" fontId="11" fillId="0" borderId="0" xfId="0" applyFont="1" applyAlignment="1">
      <alignment horizontal="center" vertical="center"/>
    </xf>
    <xf numFmtId="0" fontId="15" fillId="0" borderId="0" xfId="0" applyFont="1" applyAlignment="1">
      <alignment horizontal="left"/>
    </xf>
    <xf numFmtId="0" fontId="15" fillId="0" borderId="0" xfId="0" applyFont="1"/>
    <xf numFmtId="0" fontId="11" fillId="0" borderId="0" xfId="0" applyFont="1" applyFill="1" applyAlignment="1">
      <alignment horizontal="left"/>
    </xf>
    <xf numFmtId="0" fontId="11" fillId="0" borderId="0" xfId="0" applyFont="1" applyFill="1" applyAlignment="1">
      <alignment horizontal="right"/>
    </xf>
    <xf numFmtId="0" fontId="11" fillId="0" borderId="0" xfId="0" applyFont="1" applyAlignment="1">
      <alignment wrapText="1"/>
    </xf>
    <xf numFmtId="0" fontId="16" fillId="0" borderId="0" xfId="0" applyFont="1" applyFill="1" applyAlignment="1">
      <alignment horizontal="left"/>
    </xf>
    <xf numFmtId="0" fontId="7" fillId="0" borderId="0" xfId="0" applyFont="1" applyAlignment="1"/>
    <xf numFmtId="0" fontId="11" fillId="0" borderId="0" xfId="0" applyFont="1" applyAlignment="1">
      <alignment horizontal="left" wrapText="1"/>
    </xf>
    <xf numFmtId="0" fontId="15" fillId="0" borderId="0" xfId="0" applyFont="1" applyFill="1" applyAlignment="1">
      <alignment horizontal="left"/>
    </xf>
    <xf numFmtId="0" fontId="11" fillId="0" borderId="0" xfId="0" applyFont="1" applyAlignment="1">
      <alignment horizontal="center"/>
    </xf>
    <xf numFmtId="0" fontId="11" fillId="0" borderId="5" xfId="0" applyFont="1" applyBorder="1" applyAlignment="1">
      <alignment horizontal="center" vertical="center" wrapText="1"/>
    </xf>
    <xf numFmtId="173" fontId="11" fillId="0" borderId="0" xfId="0" applyNumberFormat="1" applyFont="1" applyAlignment="1"/>
    <xf numFmtId="0" fontId="17" fillId="0" borderId="0" xfId="0" applyFont="1" applyFill="1" applyAlignment="1">
      <alignment horizontal="left"/>
    </xf>
    <xf numFmtId="173" fontId="16" fillId="0" borderId="0" xfId="0" applyNumberFormat="1" applyFont="1"/>
    <xf numFmtId="173" fontId="11" fillId="0" borderId="0" xfId="0" applyNumberFormat="1" applyFont="1" applyFill="1" applyAlignment="1"/>
    <xf numFmtId="173" fontId="0" fillId="0" borderId="0" xfId="0" applyNumberFormat="1"/>
    <xf numFmtId="0" fontId="7" fillId="0" borderId="0" xfId="0" applyFont="1" applyAlignment="1">
      <alignment wrapText="1"/>
    </xf>
    <xf numFmtId="0" fontId="11" fillId="0" borderId="5" xfId="0" applyFont="1" applyFill="1" applyBorder="1" applyAlignment="1">
      <alignment horizontal="center" vertical="center"/>
    </xf>
    <xf numFmtId="3" fontId="11" fillId="0" borderId="4" xfId="0" applyNumberFormat="1" applyFont="1" applyFill="1" applyBorder="1" applyAlignment="1">
      <alignment horizontal="center" vertical="center"/>
    </xf>
    <xf numFmtId="174" fontId="16" fillId="0" borderId="0" xfId="1" applyNumberFormat="1" applyFont="1" applyFill="1"/>
    <xf numFmtId="174" fontId="16" fillId="0" borderId="0" xfId="1" applyNumberFormat="1" applyFont="1"/>
    <xf numFmtId="0" fontId="18" fillId="0" borderId="0" xfId="0" applyFont="1"/>
    <xf numFmtId="3" fontId="11" fillId="0" borderId="0" xfId="0" applyNumberFormat="1" applyFont="1"/>
    <xf numFmtId="3" fontId="11" fillId="0" borderId="0" xfId="0" applyNumberFormat="1" applyFont="1" applyFill="1"/>
    <xf numFmtId="175" fontId="11" fillId="0" borderId="0" xfId="0" applyNumberFormat="1" applyFont="1" applyFill="1"/>
    <xf numFmtId="3" fontId="0" fillId="0" borderId="0" xfId="0" applyNumberFormat="1"/>
    <xf numFmtId="0" fontId="16" fillId="0" borderId="0" xfId="0" applyFont="1"/>
    <xf numFmtId="0" fontId="11" fillId="0" borderId="4" xfId="0" applyFont="1" applyFill="1" applyBorder="1" applyAlignment="1">
      <alignment horizontal="center" vertical="center"/>
    </xf>
    <xf numFmtId="0" fontId="7" fillId="0" borderId="0" xfId="5" applyFont="1" applyFill="1" applyAlignment="1"/>
    <xf numFmtId="0" fontId="8" fillId="0" borderId="0" xfId="5" applyFont="1" applyFill="1" applyAlignment="1">
      <alignment vertical="center"/>
    </xf>
    <xf numFmtId="0" fontId="10" fillId="0" borderId="0" xfId="5" applyFont="1" applyFill="1" applyAlignment="1"/>
    <xf numFmtId="0" fontId="8" fillId="0" borderId="0" xfId="5" applyFont="1" applyFill="1" applyAlignment="1"/>
    <xf numFmtId="0" fontId="11" fillId="0" borderId="5" xfId="5" applyFont="1" applyFill="1" applyBorder="1" applyAlignment="1">
      <alignment horizontal="center" vertical="center"/>
    </xf>
    <xf numFmtId="0" fontId="11" fillId="0" borderId="3" xfId="5" applyFont="1" applyFill="1" applyBorder="1" applyAlignment="1">
      <alignment horizontal="center" vertical="center"/>
    </xf>
    <xf numFmtId="0" fontId="11" fillId="0" borderId="0" xfId="5" applyFont="1" applyFill="1" applyAlignment="1">
      <alignment horizontal="center" vertical="center"/>
    </xf>
    <xf numFmtId="0" fontId="11" fillId="0" borderId="3" xfId="5" applyFont="1" applyFill="1" applyBorder="1" applyAlignment="1">
      <alignment horizontal="center" vertical="center" wrapText="1"/>
    </xf>
    <xf numFmtId="0" fontId="11" fillId="0" borderId="4" xfId="5" applyFont="1" applyFill="1" applyBorder="1" applyAlignment="1">
      <alignment horizontal="center" vertical="center" wrapText="1"/>
    </xf>
    <xf numFmtId="166" fontId="11" fillId="0" borderId="0" xfId="5" applyNumberFormat="1" applyFont="1" applyFill="1" applyAlignment="1">
      <alignment horizontal="center" vertical="center"/>
    </xf>
    <xf numFmtId="0" fontId="12" fillId="0" borderId="0" xfId="5" applyFont="1" applyFill="1" applyAlignment="1">
      <alignment wrapText="1"/>
    </xf>
    <xf numFmtId="0" fontId="12" fillId="0" borderId="0" xfId="5" applyFont="1" applyFill="1" applyAlignment="1">
      <alignment horizontal="right"/>
    </xf>
    <xf numFmtId="164" fontId="12" fillId="0" borderId="0" xfId="3" applyNumberFormat="1" applyFont="1" applyFill="1" applyAlignment="1">
      <alignment horizontal="right"/>
    </xf>
    <xf numFmtId="0" fontId="12" fillId="0" borderId="0" xfId="6" applyFont="1" applyFill="1" applyAlignment="1">
      <alignment horizontal="right" wrapText="1"/>
    </xf>
    <xf numFmtId="164" fontId="12" fillId="0" borderId="0" xfId="5" applyNumberFormat="1" applyFont="1" applyFill="1" applyAlignment="1">
      <alignment horizontal="right"/>
    </xf>
    <xf numFmtId="166" fontId="12" fillId="0" borderId="0" xfId="5" applyNumberFormat="1" applyFont="1" applyFill="1" applyAlignment="1">
      <alignment horizontal="right"/>
    </xf>
    <xf numFmtId="0" fontId="12" fillId="0" borderId="0" xfId="5" applyFont="1" applyFill="1" applyAlignment="1">
      <alignment horizontal="right" vertical="center"/>
    </xf>
    <xf numFmtId="164" fontId="12" fillId="0" borderId="0" xfId="5" applyNumberFormat="1" applyFont="1" applyFill="1" applyAlignment="1">
      <alignment horizontal="right" vertical="center"/>
    </xf>
    <xf numFmtId="0" fontId="11" fillId="0" borderId="0" xfId="6" applyFont="1" applyFill="1" applyAlignment="1">
      <alignment wrapText="1"/>
    </xf>
    <xf numFmtId="0" fontId="11" fillId="0" borderId="0" xfId="6" applyFont="1" applyFill="1" applyAlignment="1">
      <alignment horizontal="right"/>
    </xf>
    <xf numFmtId="164" fontId="11" fillId="0" borderId="0" xfId="3" applyNumberFormat="1" applyFont="1" applyFill="1" applyAlignment="1">
      <alignment horizontal="right"/>
    </xf>
    <xf numFmtId="0" fontId="11" fillId="0" borderId="0" xfId="3" applyFont="1" applyFill="1" applyAlignment="1">
      <alignment horizontal="right"/>
    </xf>
    <xf numFmtId="0" fontId="11" fillId="0" borderId="0" xfId="6" applyFont="1" applyFill="1" applyAlignment="1">
      <alignment horizontal="right" wrapText="1"/>
    </xf>
    <xf numFmtId="0" fontId="11" fillId="0" borderId="0" xfId="5" applyFont="1" applyFill="1" applyAlignment="1">
      <alignment horizontal="right"/>
    </xf>
    <xf numFmtId="0" fontId="12" fillId="0" borderId="0" xfId="3" applyFont="1" applyFill="1" applyAlignment="1">
      <alignment horizontal="right"/>
    </xf>
    <xf numFmtId="164" fontId="11" fillId="0" borderId="0" xfId="5" applyNumberFormat="1" applyFont="1" applyFill="1" applyAlignment="1">
      <alignment horizontal="right"/>
    </xf>
    <xf numFmtId="0" fontId="11" fillId="0" borderId="0" xfId="5" applyFont="1" applyFill="1" applyAlignment="1">
      <alignment wrapText="1"/>
    </xf>
    <xf numFmtId="0" fontId="11" fillId="0" borderId="0" xfId="5" applyFont="1" applyFill="1" applyAlignment="1">
      <alignment horizontal="right" vertical="center"/>
    </xf>
    <xf numFmtId="0" fontId="11" fillId="0" borderId="0" xfId="5" applyFont="1" applyFill="1" applyAlignment="1">
      <alignment vertical="center" wrapText="1"/>
    </xf>
    <xf numFmtId="0" fontId="12" fillId="0" borderId="0" xfId="6" applyFont="1" applyFill="1" applyAlignment="1">
      <alignment horizontal="right"/>
    </xf>
    <xf numFmtId="0" fontId="11" fillId="0" borderId="0" xfId="5" applyFont="1" applyFill="1" applyAlignment="1"/>
    <xf numFmtId="164" fontId="11" fillId="0" borderId="0" xfId="5" applyNumberFormat="1" applyFont="1" applyFill="1" applyAlignment="1"/>
    <xf numFmtId="0" fontId="7" fillId="0" borderId="0" xfId="5" applyFont="1" applyFill="1" applyAlignment="1">
      <alignment horizontal="left" vertical="top"/>
    </xf>
    <xf numFmtId="0" fontId="11" fillId="0" borderId="5" xfId="5" applyFont="1" applyFill="1" applyBorder="1" applyAlignment="1">
      <alignment horizontal="center" vertical="center"/>
    </xf>
    <xf numFmtId="0" fontId="11" fillId="0" borderId="3" xfId="5" applyFont="1" applyFill="1" applyBorder="1" applyAlignment="1">
      <alignment horizontal="center" vertical="center"/>
    </xf>
    <xf numFmtId="0" fontId="11" fillId="0" borderId="4" xfId="5" applyFont="1" applyFill="1" applyBorder="1" applyAlignment="1">
      <alignment horizontal="center" vertical="center"/>
    </xf>
    <xf numFmtId="0" fontId="11" fillId="0" borderId="0" xfId="5" applyFont="1" applyFill="1" applyAlignment="1">
      <alignment horizontal="left" wrapText="1"/>
    </xf>
    <xf numFmtId="0" fontId="7" fillId="0" borderId="0" xfId="0" applyFont="1" applyAlignment="1">
      <alignment horizontal="left" wrapText="1"/>
    </xf>
    <xf numFmtId="0" fontId="8" fillId="0" borderId="0" xfId="3" applyFont="1" applyFill="1" applyAlignment="1"/>
    <xf numFmtId="0" fontId="7" fillId="0" borderId="1" xfId="3" applyFont="1" applyFill="1" applyBorder="1" applyAlignment="1">
      <alignment wrapText="1"/>
    </xf>
    <xf numFmtId="0" fontId="9" fillId="0" borderId="1" xfId="3" applyFont="1" applyFill="1" applyBorder="1" applyAlignment="1"/>
    <xf numFmtId="0" fontId="10" fillId="0" borderId="0" xfId="3" applyFont="1" applyFill="1" applyAlignment="1"/>
    <xf numFmtId="0" fontId="9" fillId="0" borderId="0" xfId="3" applyFont="1" applyFill="1" applyAlignment="1"/>
    <xf numFmtId="0" fontId="11" fillId="0" borderId="3" xfId="3" applyFont="1" applyFill="1" applyBorder="1" applyAlignment="1">
      <alignment horizontal="center" vertical="center" wrapText="1"/>
    </xf>
    <xf numFmtId="0" fontId="11" fillId="0" borderId="4" xfId="3" applyFont="1" applyFill="1" applyBorder="1" applyAlignment="1">
      <alignment horizontal="center" vertical="center" wrapText="1"/>
    </xf>
    <xf numFmtId="3" fontId="11" fillId="0" borderId="3" xfId="3" applyNumberFormat="1" applyFont="1" applyFill="1" applyBorder="1" applyAlignment="1">
      <alignment horizontal="center" vertical="center" wrapText="1"/>
    </xf>
    <xf numFmtId="3" fontId="11" fillId="0" borderId="1" xfId="3" applyNumberFormat="1" applyFont="1" applyFill="1" applyBorder="1" applyAlignment="1">
      <alignment horizontal="center" vertical="center" wrapText="1"/>
    </xf>
    <xf numFmtId="0" fontId="11" fillId="0" borderId="0" xfId="3" applyFont="1" applyFill="1" applyAlignment="1"/>
    <xf numFmtId="0" fontId="12" fillId="0" borderId="0" xfId="3" applyFont="1" applyFill="1" applyAlignment="1">
      <alignment horizontal="left"/>
    </xf>
    <xf numFmtId="0" fontId="12" fillId="0" borderId="0" xfId="3" applyFont="1" applyFill="1" applyAlignment="1"/>
    <xf numFmtId="165" fontId="12" fillId="0" borderId="0" xfId="3" applyNumberFormat="1" applyFont="1" applyFill="1" applyAlignment="1"/>
    <xf numFmtId="165" fontId="11" fillId="0" borderId="0" xfId="3" applyNumberFormat="1" applyFont="1" applyFill="1" applyAlignment="1"/>
    <xf numFmtId="166" fontId="11" fillId="0" borderId="0" xfId="3" applyNumberFormat="1" applyFont="1" applyFill="1" applyAlignment="1"/>
    <xf numFmtId="0" fontId="11" fillId="0" borderId="0" xfId="3" applyFont="1" applyFill="1" applyAlignment="1">
      <alignment wrapText="1"/>
    </xf>
    <xf numFmtId="3" fontId="11" fillId="0" borderId="0" xfId="3" applyNumberFormat="1" applyFont="1" applyFill="1" applyAlignment="1">
      <alignment horizontal="right"/>
    </xf>
    <xf numFmtId="3" fontId="11" fillId="0" borderId="0" xfId="3" applyNumberFormat="1" applyFont="1" applyFill="1" applyAlignment="1"/>
    <xf numFmtId="0" fontId="19" fillId="0" borderId="0" xfId="3" applyFont="1" applyFill="1" applyAlignment="1"/>
    <xf numFmtId="0" fontId="7" fillId="0" borderId="0" xfId="0" applyFont="1" applyAlignment="1">
      <alignment horizontal="left" wrapText="1"/>
    </xf>
    <xf numFmtId="0" fontId="11" fillId="0" borderId="5" xfId="3" applyFont="1" applyFill="1" applyBorder="1" applyAlignment="1">
      <alignment horizontal="center" vertical="center"/>
    </xf>
    <xf numFmtId="0" fontId="11" fillId="0" borderId="3" xfId="3" applyFont="1" applyFill="1" applyBorder="1" applyAlignment="1">
      <alignment horizontal="center" vertical="center" wrapText="1"/>
    </xf>
    <xf numFmtId="0" fontId="11" fillId="0" borderId="4" xfId="3" applyFont="1" applyFill="1" applyBorder="1" applyAlignment="1">
      <alignment horizontal="center" vertical="center" wrapText="1"/>
    </xf>
    <xf numFmtId="0" fontId="11" fillId="0" borderId="0" xfId="3" applyFont="1" applyFill="1" applyAlignment="1"/>
    <xf numFmtId="0" fontId="0" fillId="0" borderId="0" xfId="0" applyFill="1"/>
    <xf numFmtId="0" fontId="11" fillId="0" borderId="2" xfId="3" applyFont="1" applyFill="1" applyBorder="1" applyAlignment="1">
      <alignment horizontal="center" vertical="center"/>
    </xf>
    <xf numFmtId="0" fontId="11" fillId="0" borderId="0" xfId="3" applyFont="1" applyFill="1" applyAlignment="1">
      <alignment horizontal="left"/>
    </xf>
    <xf numFmtId="0" fontId="4" fillId="0" borderId="0" xfId="0" applyFont="1" applyFill="1" applyAlignment="1">
      <alignment horizontal="left" vertical="top"/>
    </xf>
    <xf numFmtId="167" fontId="4" fillId="0" borderId="0" xfId="0" applyNumberFormat="1" applyFont="1" applyFill="1" applyAlignment="1">
      <alignment horizontal="right"/>
    </xf>
    <xf numFmtId="0" fontId="11" fillId="0" borderId="0" xfId="3" applyFont="1" applyFill="1" applyAlignment="1">
      <alignment wrapText="1"/>
    </xf>
    <xf numFmtId="167" fontId="11" fillId="0" borderId="0" xfId="0" applyNumberFormat="1" applyFont="1" applyFill="1" applyAlignment="1">
      <alignment horizontal="right"/>
    </xf>
    <xf numFmtId="0" fontId="11" fillId="0" borderId="0" xfId="0" applyFont="1" applyFill="1" applyAlignment="1">
      <alignment horizontal="left" vertical="top"/>
    </xf>
    <xf numFmtId="0" fontId="7" fillId="0" borderId="1" xfId="0" applyFont="1" applyBorder="1"/>
    <xf numFmtId="0" fontId="7" fillId="0" borderId="0" xfId="0" applyFont="1"/>
    <xf numFmtId="0" fontId="16" fillId="0" borderId="0" xfId="0" applyFont="1" applyFill="1"/>
    <xf numFmtId="0" fontId="11" fillId="0" borderId="4" xfId="0" applyFont="1" applyBorder="1" applyAlignment="1">
      <alignment horizontal="center" vertical="center" wrapText="1"/>
    </xf>
    <xf numFmtId="168" fontId="11" fillId="0" borderId="0" xfId="0" applyNumberFormat="1" applyFont="1" applyAlignment="1">
      <alignment horizontal="right"/>
    </xf>
    <xf numFmtId="169" fontId="11" fillId="0" borderId="0" xfId="0" applyNumberFormat="1" applyFont="1" applyAlignment="1"/>
    <xf numFmtId="170" fontId="11" fillId="0" borderId="0" xfId="0" applyNumberFormat="1" applyFont="1" applyAlignment="1"/>
    <xf numFmtId="0" fontId="14" fillId="0" borderId="0" xfId="0" applyFont="1" applyAlignment="1">
      <alignment horizontal="right" indent="1"/>
    </xf>
    <xf numFmtId="2" fontId="11" fillId="0" borderId="0" xfId="0" applyNumberFormat="1" applyFont="1" applyAlignment="1"/>
    <xf numFmtId="2" fontId="12" fillId="0" borderId="0" xfId="0" applyNumberFormat="1" applyFont="1" applyAlignment="1"/>
    <xf numFmtId="169" fontId="11" fillId="0" borderId="0" xfId="0" applyNumberFormat="1" applyFont="1" applyFill="1" applyAlignment="1"/>
    <xf numFmtId="169" fontId="11" fillId="0" borderId="0" xfId="0" applyNumberFormat="1" applyFont="1"/>
    <xf numFmtId="169" fontId="11" fillId="0" borderId="0" xfId="0" applyNumberFormat="1" applyFont="1" applyFill="1"/>
    <xf numFmtId="169" fontId="11" fillId="0" borderId="0" xfId="0" applyNumberFormat="1" applyFont="1" applyFill="1" applyAlignment="1">
      <alignment horizontal="right"/>
    </xf>
    <xf numFmtId="4" fontId="11" fillId="0" borderId="0" xfId="0" applyNumberFormat="1" applyFont="1" applyFill="1" applyAlignment="1"/>
    <xf numFmtId="4" fontId="11" fillId="0" borderId="0" xfId="0" applyNumberFormat="1" applyFont="1" applyAlignment="1">
      <alignment horizontal="center"/>
    </xf>
    <xf numFmtId="0" fontId="19" fillId="0" borderId="0" xfId="0" applyFont="1" applyAlignment="1"/>
    <xf numFmtId="0" fontId="11" fillId="0" borderId="3" xfId="0" applyFont="1" applyFill="1" applyBorder="1" applyAlignment="1">
      <alignment horizontal="center" vertical="center"/>
    </xf>
    <xf numFmtId="0" fontId="11" fillId="0" borderId="3"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0" xfId="0" applyFont="1" applyAlignment="1">
      <alignment wrapText="1"/>
    </xf>
  </cellXfs>
  <cellStyles count="7">
    <cellStyle name="Komma 2" xfId="1"/>
    <cellStyle name="Link" xfId="2"/>
    <cellStyle name="Standard" xfId="0" builtinId="0" customBuiltin="1"/>
    <cellStyle name="Standard 2" xfId="4"/>
    <cellStyle name="Standard 3" xfId="5"/>
    <cellStyle name="Standard_08_K6" xfId="3"/>
    <cellStyle name="Standard_Tabelle1"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0</xdr:colOff>
      <xdr:row>20</xdr:row>
      <xdr:rowOff>0</xdr:rowOff>
    </xdr:from>
    <xdr:ext cx="0" cy="0"/>
    <xdr:sp macro="" textlink="">
      <xdr:nvSpPr>
        <xdr:cNvPr id="2" name="Text Box 1">
          <a:extLst>
            <a:ext uri="{FF2B5EF4-FFF2-40B4-BE49-F238E27FC236}">
              <a16:creationId xmlns:a16="http://schemas.microsoft.com/office/drawing/2014/main" id="{3AA9B0CD-CD09-1CA9-0251-EB28858BF06A}"/>
            </a:ext>
          </a:extLst>
        </xdr:cNvPr>
        <xdr:cNvSpPr txBox="1"/>
      </xdr:nvSpPr>
      <xdr:spPr>
        <a:xfrm>
          <a:off x="295275" y="3238500"/>
          <a:ext cx="0" cy="0"/>
        </a:xfrm>
        <a:prstGeom prst="rect">
          <a:avLst/>
        </a:prstGeom>
        <a:solidFill>
          <a:srgbClr val="FFFFFF"/>
        </a:solidFill>
        <a:ln cap="flat">
          <a:noFill/>
        </a:ln>
      </xdr:spPr>
      <xdr:txBody>
        <a:bodyPr vert="horz" wrap="square" lIns="18288"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de-AT" sz="900" b="0" i="0" u="none" strike="noStrike" kern="0" cap="none" spc="0" baseline="30000">
              <a:solidFill>
                <a:srgbClr val="000000"/>
              </a:solidFill>
              <a:uFillTx/>
              <a:latin typeface="Arial"/>
              <a:cs typeface="Arial"/>
            </a:rPr>
            <a:t>2)</a:t>
          </a:r>
        </a:p>
      </xdr:txBody>
    </xdr:sp>
    <xdr:clientData/>
  </xdr:oneCellAnchor>
  <xdr:oneCellAnchor>
    <xdr:from>
      <xdr:col>1</xdr:col>
      <xdr:colOff>0</xdr:colOff>
      <xdr:row>48</xdr:row>
      <xdr:rowOff>0</xdr:rowOff>
    </xdr:from>
    <xdr:ext cx="0" cy="0"/>
    <xdr:sp macro="" textlink="">
      <xdr:nvSpPr>
        <xdr:cNvPr id="3" name="Text Box 2">
          <a:extLst>
            <a:ext uri="{FF2B5EF4-FFF2-40B4-BE49-F238E27FC236}">
              <a16:creationId xmlns:a16="http://schemas.microsoft.com/office/drawing/2014/main" id="{49E3365D-99EF-FAFB-EC70-56ED9FE3216A}"/>
            </a:ext>
          </a:extLst>
        </xdr:cNvPr>
        <xdr:cNvSpPr txBox="1"/>
      </xdr:nvSpPr>
      <xdr:spPr>
        <a:xfrm>
          <a:off x="295275" y="7315200"/>
          <a:ext cx="0" cy="0"/>
        </a:xfrm>
        <a:prstGeom prst="rect">
          <a:avLst/>
        </a:prstGeom>
        <a:solidFill>
          <a:srgbClr val="FFFFFF"/>
        </a:solidFill>
        <a:ln cap="flat">
          <a:noFill/>
        </a:ln>
      </xdr:spPr>
      <xdr:txBody>
        <a:bodyPr vert="horz" wrap="square" lIns="18288"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de-AT" sz="900" b="0" i="0" u="none" strike="noStrike" kern="0" cap="none" spc="0" baseline="30000">
              <a:solidFill>
                <a:srgbClr val="000000"/>
              </a:solidFill>
              <a:uFillTx/>
              <a:latin typeface="Arial"/>
              <a:cs typeface="Arial"/>
            </a:rPr>
            <a:t>2)</a:t>
          </a:r>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O27"/>
  <sheetViews>
    <sheetView tabSelected="1" workbookViewId="0"/>
  </sheetViews>
  <sheetFormatPr baseColWidth="10" defaultColWidth="11.5546875" defaultRowHeight="14.25" customHeight="1" x14ac:dyDescent="0.4"/>
  <cols>
    <col min="1" max="1" width="11.5546875" customWidth="1"/>
  </cols>
  <sheetData>
    <row r="5" spans="1:15" ht="25.5" customHeight="1" x14ac:dyDescent="0.65">
      <c r="A5" s="1" t="s">
        <v>0</v>
      </c>
    </row>
    <row r="8" spans="1:15" ht="14.25" customHeight="1" x14ac:dyDescent="0.4">
      <c r="A8" s="2"/>
      <c r="B8" s="2"/>
      <c r="C8" s="2"/>
      <c r="D8" s="2"/>
      <c r="E8" s="2"/>
      <c r="F8" s="2"/>
    </row>
    <row r="9" spans="1:15" ht="14.25" customHeight="1" x14ac:dyDescent="0.4">
      <c r="A9" s="3" t="s">
        <v>1</v>
      </c>
      <c r="B9" s="4"/>
      <c r="C9" s="4"/>
      <c r="D9" s="4"/>
      <c r="E9" s="4"/>
      <c r="F9" s="4"/>
      <c r="G9" s="5"/>
      <c r="H9" s="5"/>
      <c r="I9" s="5"/>
      <c r="J9" s="5"/>
      <c r="K9" s="5"/>
      <c r="L9" s="6"/>
      <c r="M9" s="6"/>
      <c r="N9" s="6"/>
      <c r="O9" s="6"/>
    </row>
    <row r="10" spans="1:15" ht="14.25" customHeight="1" x14ac:dyDescent="0.4">
      <c r="A10" s="6"/>
      <c r="B10" s="6"/>
      <c r="C10" s="6"/>
      <c r="D10" s="6"/>
      <c r="E10" s="6"/>
      <c r="F10" s="6"/>
      <c r="G10" s="6"/>
      <c r="H10" s="6"/>
      <c r="I10" s="6"/>
      <c r="J10" s="6"/>
      <c r="K10" s="6"/>
      <c r="L10" s="6"/>
      <c r="M10" s="6"/>
      <c r="N10" s="6"/>
      <c r="O10" s="6"/>
    </row>
    <row r="11" spans="1:15" ht="14.25" customHeight="1" x14ac:dyDescent="0.4">
      <c r="A11" s="3" t="s">
        <v>2</v>
      </c>
      <c r="B11" s="7"/>
      <c r="C11" s="7"/>
      <c r="D11" s="6"/>
      <c r="E11" s="6"/>
      <c r="F11" s="6"/>
      <c r="G11" s="6"/>
      <c r="H11" s="6"/>
      <c r="I11" s="6"/>
      <c r="J11" s="6"/>
      <c r="K11" s="6"/>
      <c r="L11" s="6"/>
      <c r="M11" s="6"/>
      <c r="N11" s="6"/>
      <c r="O11" s="6"/>
    </row>
    <row r="12" spans="1:15" ht="14.25" customHeight="1" x14ac:dyDescent="0.4">
      <c r="A12" s="6"/>
      <c r="B12" s="6"/>
      <c r="C12" s="6"/>
      <c r="D12" s="6"/>
      <c r="E12" s="6"/>
      <c r="F12" s="6"/>
      <c r="G12" s="6"/>
      <c r="H12" s="6"/>
      <c r="I12" s="6"/>
      <c r="J12" s="6"/>
      <c r="K12" s="6"/>
      <c r="L12" s="6"/>
      <c r="M12" s="6"/>
      <c r="N12" s="6"/>
      <c r="O12" s="6"/>
    </row>
    <row r="13" spans="1:15" ht="14.25" customHeight="1" x14ac:dyDescent="0.4">
      <c r="A13" s="3" t="s">
        <v>3</v>
      </c>
      <c r="B13" s="7"/>
      <c r="C13" s="7"/>
      <c r="D13" s="7"/>
      <c r="E13" s="6"/>
      <c r="F13" s="6"/>
      <c r="G13" s="6"/>
      <c r="H13" s="6"/>
      <c r="I13" s="6"/>
      <c r="J13" s="6"/>
      <c r="K13" s="6"/>
      <c r="L13" s="6"/>
      <c r="M13" s="6"/>
      <c r="N13" s="6"/>
      <c r="O13" s="6"/>
    </row>
    <row r="14" spans="1:15" ht="14.25" customHeight="1" x14ac:dyDescent="0.4">
      <c r="A14" s="6"/>
      <c r="B14" s="6"/>
      <c r="C14" s="6"/>
      <c r="D14" s="6"/>
      <c r="E14" s="6"/>
      <c r="F14" s="6"/>
      <c r="G14" s="6"/>
      <c r="H14" s="6"/>
      <c r="I14" s="6"/>
      <c r="J14" s="6"/>
      <c r="K14" s="6"/>
      <c r="L14" s="6"/>
      <c r="M14" s="6"/>
      <c r="N14" s="6"/>
      <c r="O14" s="6"/>
    </row>
    <row r="15" spans="1:15" ht="14.25" customHeight="1" x14ac:dyDescent="0.4">
      <c r="A15" s="3" t="s">
        <v>4</v>
      </c>
      <c r="B15" s="7"/>
      <c r="C15" s="7"/>
      <c r="D15" s="6"/>
      <c r="E15" s="6"/>
      <c r="F15" s="6"/>
      <c r="G15" s="6"/>
      <c r="H15" s="6"/>
      <c r="I15" s="6"/>
      <c r="J15" s="6"/>
      <c r="K15" s="6"/>
      <c r="L15" s="6"/>
      <c r="M15" s="6"/>
      <c r="N15" s="6"/>
      <c r="O15" s="6"/>
    </row>
    <row r="16" spans="1:15" ht="14.25" customHeight="1" x14ac:dyDescent="0.4">
      <c r="A16" s="6"/>
      <c r="B16" s="6"/>
      <c r="C16" s="6"/>
      <c r="D16" s="6"/>
      <c r="E16" s="6"/>
      <c r="F16" s="6"/>
      <c r="G16" s="6"/>
      <c r="H16" s="6"/>
      <c r="I16" s="6"/>
      <c r="J16" s="6"/>
      <c r="K16" s="6"/>
      <c r="L16" s="6"/>
      <c r="M16" s="6"/>
      <c r="N16" s="6"/>
      <c r="O16" s="6"/>
    </row>
    <row r="17" spans="1:15" ht="14.25" customHeight="1" x14ac:dyDescent="0.4">
      <c r="A17" s="3" t="s">
        <v>5</v>
      </c>
      <c r="B17" s="7"/>
      <c r="C17" s="7"/>
      <c r="D17" s="7"/>
      <c r="E17" s="6"/>
      <c r="F17" s="6"/>
      <c r="G17" s="6"/>
      <c r="H17" s="6"/>
      <c r="I17" s="6"/>
      <c r="J17" s="6"/>
      <c r="K17" s="6"/>
      <c r="L17" s="6"/>
      <c r="M17" s="6"/>
      <c r="N17" s="6"/>
      <c r="O17" s="6"/>
    </row>
    <row r="18" spans="1:15" ht="14.25" customHeight="1" x14ac:dyDescent="0.4">
      <c r="A18" s="6"/>
      <c r="B18" s="6"/>
      <c r="C18" s="6"/>
      <c r="D18" s="6"/>
      <c r="E18" s="6"/>
      <c r="F18" s="6"/>
      <c r="G18" s="6"/>
      <c r="H18" s="6"/>
      <c r="I18" s="6"/>
      <c r="J18" s="6"/>
      <c r="K18" s="6"/>
      <c r="L18" s="6"/>
      <c r="M18" s="6"/>
      <c r="N18" s="6"/>
      <c r="O18" s="6"/>
    </row>
    <row r="19" spans="1:15" ht="14.25" customHeight="1" x14ac:dyDescent="0.4">
      <c r="A19" s="3" t="s">
        <v>6</v>
      </c>
      <c r="B19" s="4"/>
      <c r="C19" s="4"/>
      <c r="D19" s="4"/>
      <c r="E19" s="4"/>
      <c r="F19" s="8"/>
      <c r="G19" s="8"/>
      <c r="H19" s="8"/>
      <c r="I19" s="8"/>
      <c r="J19" s="8"/>
      <c r="K19" s="8"/>
      <c r="L19" s="8"/>
      <c r="M19" s="8"/>
      <c r="N19" s="8"/>
      <c r="O19" s="8"/>
    </row>
    <row r="20" spans="1:15" ht="14.25" customHeight="1" x14ac:dyDescent="0.4">
      <c r="A20" s="6"/>
      <c r="B20" s="6"/>
      <c r="C20" s="6"/>
      <c r="D20" s="6"/>
      <c r="E20" s="6"/>
      <c r="F20" s="6"/>
      <c r="G20" s="6"/>
      <c r="H20" s="6"/>
      <c r="I20" s="6"/>
      <c r="J20" s="6"/>
      <c r="K20" s="6"/>
      <c r="L20" s="6"/>
      <c r="M20" s="6"/>
      <c r="N20" s="6"/>
      <c r="O20" s="6"/>
    </row>
    <row r="21" spans="1:15" ht="14.25" customHeight="1" x14ac:dyDescent="0.4">
      <c r="A21" s="3" t="s">
        <v>7</v>
      </c>
      <c r="B21" s="7"/>
      <c r="C21" s="7"/>
      <c r="D21" s="7"/>
      <c r="E21" s="7"/>
      <c r="F21" s="6"/>
      <c r="G21" s="6"/>
      <c r="H21" s="6"/>
      <c r="I21" s="6"/>
      <c r="J21" s="6"/>
      <c r="K21" s="6"/>
      <c r="L21" s="6"/>
      <c r="M21" s="6"/>
      <c r="N21" s="6"/>
      <c r="O21" s="6"/>
    </row>
    <row r="22" spans="1:15" ht="14.25" customHeight="1" x14ac:dyDescent="0.4">
      <c r="A22" s="6"/>
      <c r="B22" s="6"/>
      <c r="C22" s="6"/>
      <c r="D22" s="6"/>
      <c r="E22" s="6"/>
      <c r="F22" s="6"/>
      <c r="G22" s="6"/>
      <c r="H22" s="6"/>
      <c r="I22" s="6"/>
      <c r="J22" s="6"/>
      <c r="K22" s="6"/>
      <c r="L22" s="6"/>
      <c r="M22" s="6"/>
      <c r="N22" s="6"/>
      <c r="O22" s="6"/>
    </row>
    <row r="23" spans="1:15" ht="14.25" customHeight="1" x14ac:dyDescent="0.4">
      <c r="A23" s="3" t="s">
        <v>8</v>
      </c>
      <c r="B23" s="7"/>
      <c r="C23" s="7"/>
      <c r="D23" s="9"/>
      <c r="E23" s="6"/>
      <c r="F23" s="6"/>
      <c r="G23" s="6"/>
      <c r="H23" s="6"/>
      <c r="I23" s="6"/>
      <c r="J23" s="6"/>
      <c r="K23" s="6"/>
      <c r="L23" s="6"/>
      <c r="M23" s="6"/>
      <c r="N23" s="6"/>
      <c r="O23" s="6"/>
    </row>
    <row r="24" spans="1:15" ht="14.25" customHeight="1" x14ac:dyDescent="0.4">
      <c r="A24" s="6"/>
      <c r="B24" s="6"/>
      <c r="C24" s="6"/>
      <c r="D24" s="6"/>
      <c r="E24" s="6"/>
      <c r="F24" s="6"/>
      <c r="G24" s="6"/>
      <c r="H24" s="6"/>
      <c r="I24" s="6"/>
      <c r="J24" s="6"/>
      <c r="K24" s="6"/>
      <c r="L24" s="6"/>
      <c r="M24" s="6"/>
      <c r="N24" s="6"/>
      <c r="O24" s="6"/>
    </row>
    <row r="25" spans="1:15" ht="14.25" customHeight="1" x14ac:dyDescent="0.4">
      <c r="A25" s="3" t="s">
        <v>9</v>
      </c>
      <c r="B25" s="7"/>
      <c r="C25" s="7"/>
      <c r="D25" s="9"/>
      <c r="E25" s="6"/>
      <c r="F25" s="6"/>
      <c r="G25" s="6"/>
      <c r="H25" s="6"/>
      <c r="I25" s="6"/>
      <c r="J25" s="6"/>
      <c r="K25" s="6"/>
      <c r="L25" s="6"/>
      <c r="M25" s="6"/>
      <c r="N25" s="6"/>
      <c r="O25" s="6"/>
    </row>
    <row r="26" spans="1:15" ht="14.25" customHeight="1" x14ac:dyDescent="0.4">
      <c r="A26" s="6"/>
      <c r="B26" s="6"/>
      <c r="C26" s="6"/>
      <c r="D26" s="6"/>
      <c r="E26" s="6"/>
      <c r="F26" s="6"/>
      <c r="G26" s="6"/>
      <c r="H26" s="6"/>
      <c r="I26" s="6"/>
      <c r="J26" s="6"/>
      <c r="K26" s="6"/>
      <c r="L26" s="6"/>
      <c r="M26" s="6"/>
      <c r="N26" s="6"/>
      <c r="O26" s="6"/>
    </row>
    <row r="27" spans="1:15" ht="14.25" customHeight="1" x14ac:dyDescent="0.4">
      <c r="A27" s="3" t="s">
        <v>10</v>
      </c>
      <c r="B27" s="7"/>
      <c r="C27" s="7"/>
      <c r="D27" s="7"/>
      <c r="E27" s="7"/>
      <c r="F27" s="6"/>
      <c r="G27" s="6"/>
      <c r="H27" s="6"/>
      <c r="I27" s="6"/>
      <c r="J27" s="6"/>
      <c r="K27" s="6"/>
      <c r="L27" s="6"/>
      <c r="M27" s="6"/>
      <c r="N27" s="6"/>
      <c r="O27" s="6"/>
    </row>
  </sheetData>
  <pageMargins left="0.70000000000000007" right="0.70000000000000007" top="0.78740157500000008" bottom="0.78740157500000008" header="0.30000000000000004" footer="0.30000000000000004"/>
  <pageSetup paperSize="0"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1"/>
  <sheetViews>
    <sheetView workbookViewId="0"/>
  </sheetViews>
  <sheetFormatPr baseColWidth="10" defaultColWidth="9" defaultRowHeight="9" x14ac:dyDescent="0.25"/>
  <cols>
    <col min="1" max="1" width="13.5546875" style="17" customWidth="1"/>
    <col min="2" max="11" width="5.5546875" style="17" customWidth="1"/>
    <col min="12" max="12" width="9" style="17" customWidth="1"/>
    <col min="13" max="16384" width="9" style="17"/>
  </cols>
  <sheetData>
    <row r="1" spans="1:21" s="10" customFormat="1" ht="12" customHeight="1" x14ac:dyDescent="0.35">
      <c r="A1" s="39" t="s">
        <v>1</v>
      </c>
      <c r="B1" s="39"/>
      <c r="C1" s="39"/>
      <c r="D1" s="39"/>
      <c r="E1" s="39"/>
      <c r="F1" s="39"/>
      <c r="G1" s="39"/>
      <c r="H1" s="39"/>
      <c r="I1" s="39"/>
      <c r="J1" s="39"/>
      <c r="K1" s="39"/>
    </row>
    <row r="2" spans="1:21" s="10" customFormat="1" ht="11.65" x14ac:dyDescent="0.35">
      <c r="A2" s="11"/>
      <c r="B2" s="11"/>
      <c r="C2" s="11"/>
      <c r="D2" s="11"/>
      <c r="E2" s="11"/>
      <c r="F2" s="11"/>
      <c r="G2" s="11"/>
      <c r="H2" s="11"/>
      <c r="I2" s="11"/>
      <c r="J2" s="11"/>
      <c r="K2" s="11"/>
      <c r="L2" s="12"/>
    </row>
    <row r="3" spans="1:21" ht="25.5" customHeight="1" x14ac:dyDescent="0.25">
      <c r="A3" s="13" t="s">
        <v>11</v>
      </c>
      <c r="B3" s="14" t="s">
        <v>12</v>
      </c>
      <c r="C3" s="14" t="s">
        <v>13</v>
      </c>
      <c r="D3" s="15" t="s">
        <v>14</v>
      </c>
      <c r="E3" s="14" t="s">
        <v>15</v>
      </c>
      <c r="F3" s="14" t="s">
        <v>16</v>
      </c>
      <c r="G3" s="15" t="s">
        <v>17</v>
      </c>
      <c r="H3" s="14" t="s">
        <v>18</v>
      </c>
      <c r="I3" s="15" t="s">
        <v>19</v>
      </c>
      <c r="J3" s="14" t="s">
        <v>20</v>
      </c>
      <c r="K3" s="16" t="s">
        <v>21</v>
      </c>
    </row>
    <row r="4" spans="1:21" s="21" customFormat="1" ht="15" customHeight="1" x14ac:dyDescent="0.25">
      <c r="A4" s="18" t="s">
        <v>22</v>
      </c>
      <c r="B4" s="19">
        <f>SUM(C4:K4)</f>
        <v>142</v>
      </c>
      <c r="C4" s="20">
        <v>5</v>
      </c>
      <c r="D4" s="20">
        <v>7</v>
      </c>
      <c r="E4" s="20">
        <v>26</v>
      </c>
      <c r="F4" s="20">
        <v>25</v>
      </c>
      <c r="G4" s="20">
        <v>11</v>
      </c>
      <c r="H4" s="20">
        <v>21</v>
      </c>
      <c r="I4" s="20">
        <v>12</v>
      </c>
      <c r="J4" s="20">
        <v>8</v>
      </c>
      <c r="K4" s="20">
        <v>27</v>
      </c>
      <c r="L4" s="20"/>
      <c r="M4" s="20"/>
      <c r="N4" s="20"/>
      <c r="O4" s="20"/>
      <c r="P4" s="20"/>
      <c r="Q4" s="20"/>
      <c r="R4" s="20"/>
      <c r="S4" s="20"/>
      <c r="T4" s="20"/>
      <c r="U4" s="20"/>
    </row>
    <row r="5" spans="1:21" s="23" customFormat="1" ht="12.75" customHeight="1" x14ac:dyDescent="0.25">
      <c r="A5" s="22" t="s">
        <v>23</v>
      </c>
      <c r="C5" s="24"/>
      <c r="D5" s="24"/>
      <c r="E5" s="24"/>
      <c r="F5" s="24"/>
      <c r="G5" s="24"/>
      <c r="H5" s="24"/>
      <c r="I5" s="24"/>
      <c r="J5" s="24"/>
      <c r="K5" s="24"/>
      <c r="L5" s="20"/>
      <c r="M5" s="25"/>
      <c r="N5" s="25"/>
      <c r="O5" s="25"/>
      <c r="P5" s="25"/>
      <c r="Q5" s="25"/>
      <c r="R5" s="25"/>
      <c r="S5" s="25"/>
      <c r="T5" s="25"/>
      <c r="U5" s="25"/>
    </row>
    <row r="6" spans="1:21" s="23" customFormat="1" ht="9.75" customHeight="1" x14ac:dyDescent="0.25">
      <c r="A6" s="26" t="s">
        <v>24</v>
      </c>
      <c r="B6" s="27">
        <f t="shared" ref="B6:B13" si="0">SUM(C6:K6)</f>
        <v>40</v>
      </c>
      <c r="C6" s="28">
        <v>0</v>
      </c>
      <c r="D6" s="27">
        <v>2</v>
      </c>
      <c r="E6" s="27">
        <v>6</v>
      </c>
      <c r="F6" s="27">
        <v>8</v>
      </c>
      <c r="G6" s="27">
        <v>4</v>
      </c>
      <c r="H6" s="27">
        <v>6</v>
      </c>
      <c r="I6" s="27">
        <v>4</v>
      </c>
      <c r="J6" s="27">
        <v>1</v>
      </c>
      <c r="K6" s="27">
        <v>9</v>
      </c>
      <c r="L6" s="27"/>
      <c r="M6" s="28"/>
      <c r="N6" s="27"/>
      <c r="O6" s="27"/>
      <c r="P6" s="27"/>
      <c r="Q6" s="27"/>
      <c r="R6" s="27"/>
      <c r="S6" s="27"/>
      <c r="T6" s="27"/>
      <c r="U6" s="27"/>
    </row>
    <row r="7" spans="1:21" s="23" customFormat="1" ht="9.75" customHeight="1" x14ac:dyDescent="0.25">
      <c r="A7" s="26" t="s">
        <v>25</v>
      </c>
      <c r="B7" s="27">
        <f t="shared" si="0"/>
        <v>24</v>
      </c>
      <c r="C7" s="27">
        <v>1</v>
      </c>
      <c r="D7" s="28">
        <v>0</v>
      </c>
      <c r="E7" s="27">
        <v>4</v>
      </c>
      <c r="F7" s="27">
        <v>6</v>
      </c>
      <c r="G7" s="27">
        <v>3</v>
      </c>
      <c r="H7" s="27">
        <v>1</v>
      </c>
      <c r="I7" s="27">
        <v>2</v>
      </c>
      <c r="J7" s="27">
        <v>3</v>
      </c>
      <c r="K7" s="27">
        <v>4</v>
      </c>
      <c r="L7" s="27"/>
      <c r="M7" s="29"/>
      <c r="N7" s="28"/>
      <c r="O7" s="27"/>
      <c r="P7" s="27"/>
      <c r="Q7" s="27"/>
      <c r="R7" s="27"/>
      <c r="S7" s="27"/>
      <c r="T7" s="27"/>
      <c r="U7" s="27"/>
    </row>
    <row r="8" spans="1:21" s="23" customFormat="1" ht="9.75" customHeight="1" x14ac:dyDescent="0.25">
      <c r="A8" s="26" t="s">
        <v>26</v>
      </c>
      <c r="B8" s="27">
        <f t="shared" si="0"/>
        <v>38</v>
      </c>
      <c r="C8" s="27">
        <v>4</v>
      </c>
      <c r="D8" s="27">
        <v>2</v>
      </c>
      <c r="E8" s="27">
        <v>9</v>
      </c>
      <c r="F8" s="27">
        <v>4</v>
      </c>
      <c r="G8" s="27">
        <v>2</v>
      </c>
      <c r="H8" s="27">
        <v>9</v>
      </c>
      <c r="I8" s="27">
        <v>1</v>
      </c>
      <c r="J8" s="27">
        <v>3</v>
      </c>
      <c r="K8" s="27">
        <v>4</v>
      </c>
      <c r="L8" s="27"/>
      <c r="M8" s="29"/>
      <c r="N8" s="27"/>
      <c r="O8" s="27"/>
      <c r="P8" s="27"/>
      <c r="Q8" s="27"/>
      <c r="R8" s="27"/>
      <c r="S8" s="27"/>
      <c r="T8" s="27"/>
      <c r="U8" s="27"/>
    </row>
    <row r="9" spans="1:21" s="23" customFormat="1" ht="9.75" customHeight="1" x14ac:dyDescent="0.25">
      <c r="A9" s="26" t="s">
        <v>27</v>
      </c>
      <c r="B9" s="27">
        <f t="shared" si="0"/>
        <v>16</v>
      </c>
      <c r="C9" s="28">
        <v>0</v>
      </c>
      <c r="D9" s="27">
        <v>2</v>
      </c>
      <c r="E9" s="27">
        <v>4</v>
      </c>
      <c r="F9" s="27">
        <v>3</v>
      </c>
      <c r="G9" s="28">
        <v>0</v>
      </c>
      <c r="H9" s="27">
        <v>3</v>
      </c>
      <c r="I9" s="27">
        <v>3</v>
      </c>
      <c r="J9" s="28">
        <v>0</v>
      </c>
      <c r="K9" s="27">
        <v>1</v>
      </c>
      <c r="L9" s="27"/>
      <c r="M9" s="28"/>
      <c r="N9" s="27"/>
      <c r="O9" s="27"/>
      <c r="P9" s="27"/>
      <c r="Q9" s="28"/>
      <c r="R9" s="27"/>
      <c r="S9" s="27"/>
      <c r="T9" s="28"/>
      <c r="U9" s="27"/>
    </row>
    <row r="10" spans="1:21" s="23" customFormat="1" ht="9.75" customHeight="1" x14ac:dyDescent="0.25">
      <c r="A10" s="30" t="s">
        <v>28</v>
      </c>
      <c r="B10" s="27">
        <f t="shared" si="0"/>
        <v>24</v>
      </c>
      <c r="C10" s="28">
        <v>0</v>
      </c>
      <c r="D10" s="27">
        <v>1</v>
      </c>
      <c r="E10" s="27">
        <v>3</v>
      </c>
      <c r="F10" s="27">
        <v>4</v>
      </c>
      <c r="G10" s="27">
        <v>2</v>
      </c>
      <c r="H10" s="27">
        <v>2</v>
      </c>
      <c r="I10" s="27">
        <v>2</v>
      </c>
      <c r="J10" s="27">
        <v>1</v>
      </c>
      <c r="K10" s="27">
        <v>9</v>
      </c>
      <c r="L10" s="27"/>
      <c r="M10" s="28"/>
      <c r="N10" s="27"/>
      <c r="O10" s="27"/>
      <c r="P10" s="27"/>
      <c r="Q10" s="27"/>
      <c r="R10" s="27"/>
      <c r="S10" s="27"/>
      <c r="T10" s="27"/>
      <c r="U10" s="27"/>
    </row>
    <row r="11" spans="1:21" s="23" customFormat="1" ht="9.75" customHeight="1" x14ac:dyDescent="0.25">
      <c r="A11" s="31" t="s">
        <v>29</v>
      </c>
      <c r="B11" s="27">
        <f t="shared" si="0"/>
        <v>141</v>
      </c>
      <c r="C11" s="27">
        <v>5</v>
      </c>
      <c r="D11" s="27">
        <v>7</v>
      </c>
      <c r="E11" s="27">
        <v>26</v>
      </c>
      <c r="F11" s="27">
        <v>24</v>
      </c>
      <c r="G11" s="27">
        <v>11</v>
      </c>
      <c r="H11" s="27">
        <v>21</v>
      </c>
      <c r="I11" s="27">
        <v>12</v>
      </c>
      <c r="J11" s="27">
        <v>8</v>
      </c>
      <c r="K11" s="27">
        <v>27</v>
      </c>
      <c r="L11" s="27"/>
      <c r="M11" s="27"/>
      <c r="N11" s="27"/>
      <c r="O11" s="27"/>
      <c r="P11" s="27"/>
      <c r="Q11" s="27"/>
      <c r="R11" s="27"/>
      <c r="S11" s="27"/>
      <c r="T11" s="27"/>
      <c r="U11" s="27"/>
    </row>
    <row r="12" spans="1:21" s="23" customFormat="1" ht="12.75" customHeight="1" x14ac:dyDescent="0.25">
      <c r="A12" s="18" t="s">
        <v>30</v>
      </c>
      <c r="B12" s="27">
        <f t="shared" si="0"/>
        <v>569</v>
      </c>
      <c r="C12" s="23">
        <v>20</v>
      </c>
      <c r="D12" s="23">
        <v>29</v>
      </c>
      <c r="E12" s="23">
        <v>98</v>
      </c>
      <c r="F12" s="23">
        <v>93</v>
      </c>
      <c r="G12" s="23">
        <v>38</v>
      </c>
      <c r="H12" s="23">
        <v>80</v>
      </c>
      <c r="I12" s="23">
        <v>47</v>
      </c>
      <c r="J12" s="23">
        <v>26</v>
      </c>
      <c r="K12" s="23">
        <v>138</v>
      </c>
      <c r="L12" s="20"/>
      <c r="M12" s="20"/>
      <c r="N12" s="20"/>
      <c r="O12" s="20"/>
      <c r="P12" s="20"/>
      <c r="Q12" s="20"/>
      <c r="R12" s="20"/>
      <c r="S12" s="20"/>
      <c r="T12" s="20"/>
      <c r="U12" s="20"/>
    </row>
    <row r="13" spans="1:21" s="21" customFormat="1" ht="12.75" customHeight="1" x14ac:dyDescent="0.25">
      <c r="A13" s="18" t="s">
        <v>31</v>
      </c>
      <c r="B13" s="19">
        <f t="shared" si="0"/>
        <v>91992</v>
      </c>
      <c r="C13" s="20">
        <v>2520</v>
      </c>
      <c r="D13" s="20">
        <v>5663</v>
      </c>
      <c r="E13" s="20">
        <v>13790</v>
      </c>
      <c r="F13" s="20">
        <v>13342</v>
      </c>
      <c r="G13" s="20">
        <v>7230</v>
      </c>
      <c r="H13" s="20">
        <v>12903</v>
      </c>
      <c r="I13" s="20">
        <v>7521</v>
      </c>
      <c r="J13" s="20">
        <v>4347</v>
      </c>
      <c r="K13" s="20">
        <v>24676</v>
      </c>
      <c r="L13" s="20"/>
      <c r="M13" s="20"/>
      <c r="N13" s="20"/>
      <c r="O13" s="20"/>
      <c r="P13" s="20"/>
      <c r="Q13" s="20"/>
      <c r="R13" s="20"/>
      <c r="S13" s="20"/>
      <c r="T13" s="20"/>
      <c r="U13" s="20"/>
    </row>
    <row r="14" spans="1:21" s="23" customFormat="1" ht="12.75" customHeight="1" x14ac:dyDescent="0.25">
      <c r="A14" s="22" t="s">
        <v>32</v>
      </c>
      <c r="M14" s="20"/>
      <c r="N14" s="32"/>
      <c r="O14" s="32"/>
      <c r="P14" s="32"/>
      <c r="Q14" s="32"/>
      <c r="R14" s="32"/>
      <c r="S14" s="32"/>
      <c r="T14" s="32"/>
      <c r="U14" s="32"/>
    </row>
    <row r="15" spans="1:21" s="23" customFormat="1" ht="9.75" customHeight="1" x14ac:dyDescent="0.25">
      <c r="A15" s="26" t="s">
        <v>24</v>
      </c>
      <c r="B15" s="27">
        <f>SUM(C15:K15)</f>
        <v>6476</v>
      </c>
      <c r="C15" s="28">
        <v>0</v>
      </c>
      <c r="D15" s="23">
        <v>245</v>
      </c>
      <c r="E15" s="23">
        <v>854</v>
      </c>
      <c r="F15" s="27">
        <v>1123</v>
      </c>
      <c r="G15" s="23">
        <v>700</v>
      </c>
      <c r="H15" s="23">
        <v>894</v>
      </c>
      <c r="I15" s="23">
        <v>481</v>
      </c>
      <c r="J15" s="23">
        <v>40</v>
      </c>
      <c r="K15" s="27">
        <v>2139</v>
      </c>
      <c r="L15" s="27"/>
      <c r="M15" s="28"/>
      <c r="N15" s="27"/>
      <c r="O15" s="27"/>
      <c r="P15" s="27"/>
      <c r="Q15" s="27"/>
      <c r="R15" s="27"/>
      <c r="S15" s="27"/>
      <c r="T15" s="27"/>
      <c r="U15" s="27"/>
    </row>
    <row r="16" spans="1:21" s="23" customFormat="1" ht="9.75" customHeight="1" x14ac:dyDescent="0.25">
      <c r="A16" s="26" t="s">
        <v>25</v>
      </c>
      <c r="B16" s="27">
        <f>SUM(C16:K16)</f>
        <v>5953</v>
      </c>
      <c r="C16" s="23">
        <v>92</v>
      </c>
      <c r="D16" s="28">
        <v>0</v>
      </c>
      <c r="E16" s="23">
        <v>972</v>
      </c>
      <c r="F16" s="27">
        <v>1264</v>
      </c>
      <c r="G16" s="27">
        <v>1060</v>
      </c>
      <c r="H16" s="23">
        <v>348</v>
      </c>
      <c r="I16" s="23">
        <v>560</v>
      </c>
      <c r="J16" s="23">
        <v>725</v>
      </c>
      <c r="K16" s="23">
        <v>932</v>
      </c>
      <c r="L16" s="27"/>
      <c r="M16" s="27"/>
      <c r="N16" s="28"/>
      <c r="O16" s="27"/>
      <c r="P16" s="27"/>
      <c r="Q16" s="27"/>
      <c r="R16" s="27"/>
      <c r="S16" s="27"/>
      <c r="T16" s="27"/>
      <c r="U16" s="27"/>
    </row>
    <row r="17" spans="1:21" s="23" customFormat="1" ht="9.75" customHeight="1" x14ac:dyDescent="0.25">
      <c r="A17" s="26" t="s">
        <v>26</v>
      </c>
      <c r="B17" s="27">
        <f>SUM(C17:K17)</f>
        <v>17880</v>
      </c>
      <c r="C17" s="27">
        <v>2428</v>
      </c>
      <c r="D17" s="27">
        <v>1051</v>
      </c>
      <c r="E17" s="27">
        <v>3202</v>
      </c>
      <c r="F17" s="27">
        <v>1330</v>
      </c>
      <c r="G17" s="27">
        <v>1342</v>
      </c>
      <c r="H17" s="27">
        <v>4795</v>
      </c>
      <c r="I17" s="23">
        <v>594</v>
      </c>
      <c r="J17" s="27">
        <v>1377</v>
      </c>
      <c r="K17" s="27">
        <v>1761</v>
      </c>
      <c r="L17" s="27"/>
      <c r="M17" s="27"/>
      <c r="N17" s="27"/>
      <c r="O17" s="27"/>
      <c r="P17" s="27"/>
      <c r="Q17" s="27"/>
      <c r="R17" s="27"/>
      <c r="S17" s="27"/>
      <c r="T17" s="27"/>
      <c r="U17" s="27"/>
    </row>
    <row r="18" spans="1:21" s="23" customFormat="1" ht="9.75" customHeight="1" x14ac:dyDescent="0.25">
      <c r="A18" s="26" t="s">
        <v>27</v>
      </c>
      <c r="B18" s="27">
        <f>SUM(C18:K18)</f>
        <v>14922</v>
      </c>
      <c r="C18" s="28">
        <v>0</v>
      </c>
      <c r="D18" s="27">
        <v>2289</v>
      </c>
      <c r="E18" s="27">
        <v>3753</v>
      </c>
      <c r="F18" s="27">
        <v>2343</v>
      </c>
      <c r="G18" s="28">
        <v>0</v>
      </c>
      <c r="H18" s="27">
        <v>2976</v>
      </c>
      <c r="I18" s="27">
        <v>2835</v>
      </c>
      <c r="J18" s="28">
        <v>0</v>
      </c>
      <c r="K18" s="23">
        <v>726</v>
      </c>
      <c r="L18" s="27"/>
      <c r="M18" s="28"/>
      <c r="N18" s="27"/>
      <c r="O18" s="27"/>
      <c r="P18" s="27"/>
      <c r="Q18" s="28"/>
      <c r="R18" s="27"/>
      <c r="S18" s="27"/>
      <c r="T18" s="28"/>
      <c r="U18" s="27"/>
    </row>
    <row r="19" spans="1:21" s="23" customFormat="1" ht="9.75" customHeight="1" x14ac:dyDescent="0.25">
      <c r="A19" s="30" t="s">
        <v>28</v>
      </c>
      <c r="B19" s="27">
        <f>SUM(C19:K19)</f>
        <v>46761</v>
      </c>
      <c r="C19" s="28">
        <v>0</v>
      </c>
      <c r="D19" s="27">
        <v>2078</v>
      </c>
      <c r="E19" s="27">
        <v>5009</v>
      </c>
      <c r="F19" s="27">
        <v>7282</v>
      </c>
      <c r="G19" s="27">
        <v>4128</v>
      </c>
      <c r="H19" s="27">
        <v>3890</v>
      </c>
      <c r="I19" s="27">
        <v>3051</v>
      </c>
      <c r="J19" s="27">
        <v>2205</v>
      </c>
      <c r="K19" s="27">
        <v>19118</v>
      </c>
      <c r="L19" s="27"/>
      <c r="M19" s="28"/>
      <c r="N19" s="27"/>
      <c r="O19" s="27"/>
      <c r="P19" s="27"/>
      <c r="Q19" s="27"/>
      <c r="R19" s="27"/>
      <c r="S19" s="27"/>
      <c r="T19" s="27"/>
      <c r="U19" s="27"/>
    </row>
    <row r="20" spans="1:21" s="23" customFormat="1" ht="19.5" customHeight="1" x14ac:dyDescent="0.25">
      <c r="A20" s="33" t="s">
        <v>33</v>
      </c>
      <c r="B20" s="34">
        <v>10.333161099004785</v>
      </c>
      <c r="C20" s="34">
        <v>8.5578640658004659</v>
      </c>
      <c r="D20" s="34">
        <v>10.087461479541851</v>
      </c>
      <c r="E20" s="34">
        <v>8.1858077445220694</v>
      </c>
      <c r="F20" s="34">
        <v>8.9520072571511378</v>
      </c>
      <c r="G20" s="34">
        <v>12.94587621020665</v>
      </c>
      <c r="H20" s="34">
        <v>10.350752782020511</v>
      </c>
      <c r="I20" s="34">
        <v>9.9241012757108251</v>
      </c>
      <c r="J20" s="34">
        <v>10.947030174215676</v>
      </c>
      <c r="K20" s="34">
        <v>12.907693981570601</v>
      </c>
      <c r="L20" s="34"/>
      <c r="M20" s="34"/>
      <c r="N20" s="34"/>
      <c r="O20" s="34"/>
      <c r="P20" s="34"/>
      <c r="Q20" s="34"/>
      <c r="R20" s="34"/>
      <c r="S20" s="34"/>
      <c r="T20" s="34"/>
      <c r="U20" s="34"/>
    </row>
    <row r="21" spans="1:21" s="23" customFormat="1" ht="12.75" customHeight="1" x14ac:dyDescent="0.25">
      <c r="A21" s="35" t="s">
        <v>34</v>
      </c>
      <c r="B21" s="36">
        <v>14533441</v>
      </c>
      <c r="C21" s="36">
        <v>411898</v>
      </c>
      <c r="D21" s="36">
        <v>701372</v>
      </c>
      <c r="E21" s="36">
        <v>1972057</v>
      </c>
      <c r="F21" s="36">
        <v>2394353</v>
      </c>
      <c r="G21" s="36">
        <v>925373</v>
      </c>
      <c r="H21" s="36">
        <v>1854316</v>
      </c>
      <c r="I21" s="36">
        <v>1165433</v>
      </c>
      <c r="J21" s="36">
        <v>852124</v>
      </c>
      <c r="K21" s="36">
        <v>4256515</v>
      </c>
      <c r="L21" s="36"/>
      <c r="M21" s="36"/>
      <c r="N21" s="36"/>
      <c r="O21" s="36"/>
      <c r="P21" s="36"/>
      <c r="Q21" s="36"/>
      <c r="R21" s="36"/>
      <c r="S21" s="36"/>
      <c r="T21" s="36"/>
      <c r="U21" s="36"/>
    </row>
    <row r="22" spans="1:21" s="23" customFormat="1" ht="19.5" customHeight="1" x14ac:dyDescent="0.25">
      <c r="A22" s="33" t="s">
        <v>35</v>
      </c>
      <c r="B22" s="37">
        <v>1632.4939905196234</v>
      </c>
      <c r="C22" s="37">
        <v>1398.7964654663017</v>
      </c>
      <c r="D22" s="37">
        <v>1249.3489374588075</v>
      </c>
      <c r="E22" s="37">
        <v>1170.6221510688149</v>
      </c>
      <c r="F22" s="37">
        <v>1606.5256657308951</v>
      </c>
      <c r="G22" s="37">
        <v>1656.9521862057481</v>
      </c>
      <c r="H22" s="37">
        <v>1487.5274351503638</v>
      </c>
      <c r="I22" s="37">
        <v>1537.8108126652696</v>
      </c>
      <c r="J22" s="37">
        <v>2145.8999632328869</v>
      </c>
      <c r="K22" s="37">
        <v>2226.5275185591258</v>
      </c>
      <c r="L22" s="37"/>
      <c r="M22" s="37"/>
      <c r="N22" s="37"/>
      <c r="O22" s="37"/>
      <c r="P22" s="37"/>
      <c r="Q22" s="37"/>
      <c r="R22" s="37"/>
      <c r="S22" s="37"/>
      <c r="T22" s="37"/>
      <c r="U22" s="37"/>
    </row>
    <row r="23" spans="1:21" ht="9.75" customHeight="1" x14ac:dyDescent="0.25"/>
    <row r="24" spans="1:21" ht="39" customHeight="1" x14ac:dyDescent="0.25">
      <c r="A24" s="40" t="s">
        <v>36</v>
      </c>
      <c r="B24" s="40"/>
      <c r="C24" s="40"/>
      <c r="D24" s="40"/>
      <c r="E24" s="40"/>
      <c r="F24" s="40"/>
      <c r="G24" s="40"/>
      <c r="H24" s="40"/>
      <c r="I24" s="40"/>
      <c r="J24" s="40"/>
      <c r="K24" s="40"/>
      <c r="L24" s="38"/>
    </row>
    <row r="25" spans="1:21" ht="9.75" customHeight="1" x14ac:dyDescent="0.25"/>
    <row r="26" spans="1:21" ht="9.75" customHeight="1" x14ac:dyDescent="0.25"/>
    <row r="31" spans="1:21" ht="9" customHeight="1" x14ac:dyDescent="0.25"/>
  </sheetData>
  <mergeCells count="2">
    <mergeCell ref="A1:K1"/>
    <mergeCell ref="A24:K24"/>
  </mergeCells>
  <pageMargins left="0.70000000000000007" right="0.70000000000000007" top="0.78740157500000008" bottom="0.78740157500000008" header="0.30000000000000004" footer="0.30000000000000004"/>
  <pageSetup paperSize="0"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9"/>
  <sheetViews>
    <sheetView workbookViewId="0"/>
  </sheetViews>
  <sheetFormatPr baseColWidth="10" defaultColWidth="11.5546875" defaultRowHeight="15" x14ac:dyDescent="0.4"/>
  <cols>
    <col min="1" max="1" width="4.88671875" customWidth="1"/>
    <col min="2" max="11" width="6.6640625" customWidth="1"/>
    <col min="12" max="12" width="11.5546875" customWidth="1"/>
  </cols>
  <sheetData>
    <row r="1" spans="1:12" ht="12" customHeight="1" x14ac:dyDescent="0.4">
      <c r="A1" s="54" t="s">
        <v>2</v>
      </c>
      <c r="B1" s="54"/>
      <c r="C1" s="54"/>
      <c r="D1" s="54"/>
      <c r="E1" s="54"/>
      <c r="F1" s="54"/>
      <c r="G1" s="54"/>
      <c r="H1" s="54"/>
      <c r="I1" s="54"/>
      <c r="J1" s="54"/>
      <c r="K1" s="54"/>
    </row>
    <row r="2" spans="1:12" ht="12" customHeight="1" x14ac:dyDescent="0.4">
      <c r="A2" s="41"/>
      <c r="B2" s="41"/>
      <c r="C2" s="42"/>
      <c r="D2" s="42"/>
      <c r="E2" s="42"/>
      <c r="F2" s="42"/>
      <c r="G2" s="42"/>
      <c r="H2" s="42"/>
      <c r="I2" s="42"/>
      <c r="J2" s="42"/>
      <c r="K2" s="42"/>
      <c r="L2" s="12"/>
    </row>
    <row r="3" spans="1:12" ht="25.5" customHeight="1" x14ac:dyDescent="0.4">
      <c r="A3" s="43" t="s">
        <v>37</v>
      </c>
      <c r="B3" s="14" t="s">
        <v>12</v>
      </c>
      <c r="C3" s="14" t="s">
        <v>13</v>
      </c>
      <c r="D3" s="15" t="s">
        <v>14</v>
      </c>
      <c r="E3" s="14" t="s">
        <v>15</v>
      </c>
      <c r="F3" s="14" t="s">
        <v>16</v>
      </c>
      <c r="G3" s="15" t="s">
        <v>17</v>
      </c>
      <c r="H3" s="14" t="s">
        <v>18</v>
      </c>
      <c r="I3" s="15" t="s">
        <v>19</v>
      </c>
      <c r="J3" s="14" t="s">
        <v>20</v>
      </c>
      <c r="K3" s="16" t="s">
        <v>21</v>
      </c>
    </row>
    <row r="4" spans="1:12" ht="15" customHeight="1" x14ac:dyDescent="0.4">
      <c r="A4" s="44">
        <v>1975</v>
      </c>
      <c r="B4" s="45">
        <v>575</v>
      </c>
      <c r="C4" s="46">
        <v>44</v>
      </c>
      <c r="D4" s="46">
        <v>50</v>
      </c>
      <c r="E4" s="46">
        <v>138</v>
      </c>
      <c r="F4" s="46">
        <v>89</v>
      </c>
      <c r="G4" s="46">
        <v>35</v>
      </c>
      <c r="H4" s="46">
        <v>85</v>
      </c>
      <c r="I4" s="46">
        <v>34</v>
      </c>
      <c r="J4" s="46">
        <v>13</v>
      </c>
      <c r="K4" s="46">
        <v>87</v>
      </c>
      <c r="L4" s="47"/>
    </row>
    <row r="5" spans="1:12" ht="9.75" customHeight="1" x14ac:dyDescent="0.4">
      <c r="A5" s="44">
        <v>1980</v>
      </c>
      <c r="B5" s="45">
        <v>489</v>
      </c>
      <c r="C5" s="46">
        <v>37</v>
      </c>
      <c r="D5" s="46">
        <v>35</v>
      </c>
      <c r="E5" s="46">
        <v>113</v>
      </c>
      <c r="F5" s="46">
        <v>87</v>
      </c>
      <c r="G5" s="46">
        <v>28</v>
      </c>
      <c r="H5" s="46">
        <v>70</v>
      </c>
      <c r="I5" s="46">
        <v>33</v>
      </c>
      <c r="J5" s="46">
        <v>15</v>
      </c>
      <c r="K5" s="46">
        <v>71</v>
      </c>
      <c r="L5" s="48"/>
    </row>
    <row r="6" spans="1:12" ht="9.75" customHeight="1" x14ac:dyDescent="0.4">
      <c r="A6" s="44">
        <v>1985</v>
      </c>
      <c r="B6" s="45">
        <v>522</v>
      </c>
      <c r="C6" s="46">
        <v>21</v>
      </c>
      <c r="D6" s="46">
        <v>39</v>
      </c>
      <c r="E6" s="46">
        <v>108</v>
      </c>
      <c r="F6" s="46">
        <v>95</v>
      </c>
      <c r="G6" s="46">
        <v>31</v>
      </c>
      <c r="H6" s="46">
        <v>72</v>
      </c>
      <c r="I6" s="46">
        <v>38</v>
      </c>
      <c r="J6" s="46">
        <v>17</v>
      </c>
      <c r="K6" s="46">
        <v>101</v>
      </c>
      <c r="L6" s="49"/>
    </row>
    <row r="7" spans="1:12" ht="9.75" customHeight="1" x14ac:dyDescent="0.4">
      <c r="A7" s="44">
        <v>1990</v>
      </c>
      <c r="B7" s="45">
        <v>390</v>
      </c>
      <c r="C7" s="46">
        <v>10</v>
      </c>
      <c r="D7" s="46">
        <v>30</v>
      </c>
      <c r="E7" s="46">
        <v>66</v>
      </c>
      <c r="F7" s="46">
        <v>67</v>
      </c>
      <c r="G7" s="46">
        <v>27</v>
      </c>
      <c r="H7" s="46">
        <v>44</v>
      </c>
      <c r="I7" s="46">
        <v>34</v>
      </c>
      <c r="J7" s="46">
        <v>17</v>
      </c>
      <c r="K7" s="46">
        <v>95</v>
      </c>
      <c r="L7" s="49"/>
    </row>
    <row r="8" spans="1:12" ht="9.75" customHeight="1" x14ac:dyDescent="0.4">
      <c r="A8" s="44">
        <v>1995</v>
      </c>
      <c r="B8" s="45">
        <v>412</v>
      </c>
      <c r="C8" s="46">
        <v>12</v>
      </c>
      <c r="D8" s="46">
        <v>33</v>
      </c>
      <c r="E8" s="46">
        <v>72</v>
      </c>
      <c r="F8" s="46">
        <v>81</v>
      </c>
      <c r="G8" s="46">
        <v>25</v>
      </c>
      <c r="H8" s="46">
        <v>42</v>
      </c>
      <c r="I8" s="46">
        <v>35</v>
      </c>
      <c r="J8" s="46">
        <v>16</v>
      </c>
      <c r="K8" s="46">
        <v>96</v>
      </c>
    </row>
    <row r="9" spans="1:12" ht="9.75" customHeight="1" x14ac:dyDescent="0.4">
      <c r="A9" s="44">
        <v>2000</v>
      </c>
      <c r="B9" s="45">
        <v>535</v>
      </c>
      <c r="C9" s="46">
        <v>15</v>
      </c>
      <c r="D9" s="46">
        <v>31</v>
      </c>
      <c r="E9" s="46">
        <v>106</v>
      </c>
      <c r="F9" s="46">
        <v>73</v>
      </c>
      <c r="G9" s="46">
        <v>28</v>
      </c>
      <c r="H9" s="46">
        <v>73</v>
      </c>
      <c r="I9" s="46">
        <v>38</v>
      </c>
      <c r="J9" s="46">
        <v>20</v>
      </c>
      <c r="K9" s="46">
        <v>151</v>
      </c>
    </row>
    <row r="10" spans="1:12" ht="9.75" customHeight="1" x14ac:dyDescent="0.4">
      <c r="A10" s="44">
        <v>2001</v>
      </c>
      <c r="B10" s="45">
        <v>579</v>
      </c>
      <c r="C10" s="46">
        <v>14</v>
      </c>
      <c r="D10" s="46">
        <v>24</v>
      </c>
      <c r="E10" s="46">
        <v>100</v>
      </c>
      <c r="F10" s="46">
        <v>84</v>
      </c>
      <c r="G10" s="46">
        <v>35</v>
      </c>
      <c r="H10" s="46">
        <v>71</v>
      </c>
      <c r="I10" s="46">
        <v>40</v>
      </c>
      <c r="J10" s="46">
        <v>20</v>
      </c>
      <c r="K10" s="46">
        <v>191</v>
      </c>
    </row>
    <row r="11" spans="1:12" ht="9.75" customHeight="1" x14ac:dyDescent="0.4">
      <c r="A11" s="44">
        <v>2002</v>
      </c>
      <c r="B11" s="45">
        <v>564</v>
      </c>
      <c r="C11" s="46">
        <v>14</v>
      </c>
      <c r="D11" s="46">
        <v>30</v>
      </c>
      <c r="E11" s="46">
        <v>103</v>
      </c>
      <c r="F11" s="46">
        <v>85</v>
      </c>
      <c r="G11" s="46">
        <v>35</v>
      </c>
      <c r="H11" s="46">
        <v>71</v>
      </c>
      <c r="I11" s="46">
        <v>40</v>
      </c>
      <c r="J11" s="46">
        <v>20</v>
      </c>
      <c r="K11" s="46">
        <v>166</v>
      </c>
    </row>
    <row r="12" spans="1:12" ht="9.75" customHeight="1" x14ac:dyDescent="0.4">
      <c r="A12" s="44">
        <v>2003</v>
      </c>
      <c r="B12" s="45">
        <v>553</v>
      </c>
      <c r="C12" s="46">
        <v>14</v>
      </c>
      <c r="D12" s="46">
        <v>27</v>
      </c>
      <c r="E12" s="46">
        <v>98</v>
      </c>
      <c r="F12" s="46">
        <v>77</v>
      </c>
      <c r="G12" s="46">
        <v>34</v>
      </c>
      <c r="H12" s="46">
        <v>74</v>
      </c>
      <c r="I12" s="46">
        <v>42</v>
      </c>
      <c r="J12" s="46">
        <v>21</v>
      </c>
      <c r="K12" s="46">
        <v>166</v>
      </c>
    </row>
    <row r="13" spans="1:12" ht="9.75" customHeight="1" x14ac:dyDescent="0.4">
      <c r="A13" s="44">
        <v>2004</v>
      </c>
      <c r="B13" s="45">
        <v>560</v>
      </c>
      <c r="C13" s="46">
        <v>14</v>
      </c>
      <c r="D13" s="46">
        <v>27</v>
      </c>
      <c r="E13" s="46">
        <v>97</v>
      </c>
      <c r="F13" s="46">
        <v>84</v>
      </c>
      <c r="G13" s="46">
        <v>34</v>
      </c>
      <c r="H13" s="46">
        <v>74</v>
      </c>
      <c r="I13" s="46">
        <v>48</v>
      </c>
      <c r="J13" s="46">
        <v>21</v>
      </c>
      <c r="K13" s="46">
        <v>161</v>
      </c>
    </row>
    <row r="14" spans="1:12" ht="9.75" customHeight="1" x14ac:dyDescent="0.4">
      <c r="A14" s="44">
        <v>2005</v>
      </c>
      <c r="B14" s="45">
        <v>568</v>
      </c>
      <c r="C14" s="46">
        <v>14</v>
      </c>
      <c r="D14" s="46">
        <v>27</v>
      </c>
      <c r="E14" s="46">
        <v>98</v>
      </c>
      <c r="F14" s="46">
        <v>81</v>
      </c>
      <c r="G14" s="46">
        <v>34</v>
      </c>
      <c r="H14" s="46">
        <v>74</v>
      </c>
      <c r="I14" s="46">
        <v>47</v>
      </c>
      <c r="J14" s="46">
        <v>21</v>
      </c>
      <c r="K14" s="46">
        <v>172</v>
      </c>
    </row>
    <row r="15" spans="1:12" ht="9.75" customHeight="1" x14ac:dyDescent="0.4">
      <c r="A15" s="44">
        <v>2006</v>
      </c>
      <c r="B15" s="45">
        <v>584</v>
      </c>
      <c r="C15" s="46">
        <v>14</v>
      </c>
      <c r="D15" s="46">
        <v>30</v>
      </c>
      <c r="E15" s="46">
        <v>102</v>
      </c>
      <c r="F15" s="46">
        <v>88</v>
      </c>
      <c r="G15" s="46">
        <v>40</v>
      </c>
      <c r="H15" s="46">
        <v>73</v>
      </c>
      <c r="I15" s="46">
        <v>47</v>
      </c>
      <c r="J15" s="46">
        <v>20</v>
      </c>
      <c r="K15" s="46">
        <v>170</v>
      </c>
    </row>
    <row r="16" spans="1:12" ht="9.75" customHeight="1" x14ac:dyDescent="0.4">
      <c r="A16" s="44">
        <v>2007</v>
      </c>
      <c r="B16" s="45">
        <v>568</v>
      </c>
      <c r="C16" s="46">
        <v>14</v>
      </c>
      <c r="D16" s="46">
        <v>30</v>
      </c>
      <c r="E16" s="46">
        <v>91</v>
      </c>
      <c r="F16" s="46">
        <v>85</v>
      </c>
      <c r="G16" s="46">
        <v>38</v>
      </c>
      <c r="H16" s="46">
        <v>70</v>
      </c>
      <c r="I16" s="46">
        <v>44</v>
      </c>
      <c r="J16" s="46">
        <v>25</v>
      </c>
      <c r="K16" s="46">
        <v>171</v>
      </c>
    </row>
    <row r="17" spans="1:11" ht="9.75" customHeight="1" x14ac:dyDescent="0.4">
      <c r="A17" s="44">
        <v>2008</v>
      </c>
      <c r="B17" s="45">
        <v>579</v>
      </c>
      <c r="C17" s="46">
        <v>19</v>
      </c>
      <c r="D17" s="46">
        <v>30</v>
      </c>
      <c r="E17" s="46">
        <v>90</v>
      </c>
      <c r="F17" s="46">
        <v>87</v>
      </c>
      <c r="G17" s="46">
        <v>38</v>
      </c>
      <c r="H17" s="46">
        <v>75</v>
      </c>
      <c r="I17" s="46">
        <v>44</v>
      </c>
      <c r="J17" s="46">
        <v>25</v>
      </c>
      <c r="K17" s="46">
        <v>171</v>
      </c>
    </row>
    <row r="18" spans="1:11" ht="9.75" customHeight="1" x14ac:dyDescent="0.4">
      <c r="A18" s="50">
        <v>2009</v>
      </c>
      <c r="B18" s="37">
        <v>582</v>
      </c>
      <c r="C18" s="51">
        <v>21</v>
      </c>
      <c r="D18" s="51">
        <v>28</v>
      </c>
      <c r="E18" s="51">
        <v>96</v>
      </c>
      <c r="F18" s="51">
        <v>87</v>
      </c>
      <c r="G18" s="51">
        <v>38</v>
      </c>
      <c r="H18" s="51">
        <v>74</v>
      </c>
      <c r="I18" s="51">
        <v>44</v>
      </c>
      <c r="J18" s="51">
        <v>25</v>
      </c>
      <c r="K18" s="51">
        <v>169</v>
      </c>
    </row>
    <row r="19" spans="1:11" ht="9.75" customHeight="1" x14ac:dyDescent="0.4">
      <c r="A19" s="50">
        <v>2010</v>
      </c>
      <c r="B19" s="37">
        <v>577</v>
      </c>
      <c r="C19" s="51">
        <v>21</v>
      </c>
      <c r="D19" s="51">
        <v>28</v>
      </c>
      <c r="E19" s="51">
        <v>96</v>
      </c>
      <c r="F19" s="51">
        <v>80</v>
      </c>
      <c r="G19" s="51">
        <v>38</v>
      </c>
      <c r="H19" s="51">
        <v>75</v>
      </c>
      <c r="I19" s="51">
        <v>44</v>
      </c>
      <c r="J19" s="51">
        <v>26</v>
      </c>
      <c r="K19" s="51">
        <v>169</v>
      </c>
    </row>
    <row r="20" spans="1:11" ht="9.75" customHeight="1" x14ac:dyDescent="0.4">
      <c r="A20" s="50">
        <v>2011</v>
      </c>
      <c r="B20" s="37">
        <v>577</v>
      </c>
      <c r="C20" s="51">
        <v>16</v>
      </c>
      <c r="D20" s="51">
        <v>29</v>
      </c>
      <c r="E20" s="51">
        <v>98</v>
      </c>
      <c r="F20" s="51">
        <v>91</v>
      </c>
      <c r="G20" s="51">
        <v>43</v>
      </c>
      <c r="H20" s="51">
        <v>76</v>
      </c>
      <c r="I20" s="51">
        <v>43</v>
      </c>
      <c r="J20" s="51">
        <v>25</v>
      </c>
      <c r="K20" s="51">
        <v>156</v>
      </c>
    </row>
    <row r="21" spans="1:11" ht="9.75" customHeight="1" x14ac:dyDescent="0.4">
      <c r="A21" s="50">
        <v>2012</v>
      </c>
      <c r="B21" s="27">
        <v>565</v>
      </c>
      <c r="C21" s="27">
        <v>16</v>
      </c>
      <c r="D21" s="27">
        <v>28</v>
      </c>
      <c r="E21" s="27">
        <v>98</v>
      </c>
      <c r="F21" s="27">
        <v>87</v>
      </c>
      <c r="G21" s="27">
        <v>38</v>
      </c>
      <c r="H21" s="27">
        <v>76</v>
      </c>
      <c r="I21" s="27">
        <v>43</v>
      </c>
      <c r="J21" s="27">
        <v>25</v>
      </c>
      <c r="K21" s="27">
        <v>154</v>
      </c>
    </row>
    <row r="22" spans="1:11" ht="9.75" customHeight="1" x14ac:dyDescent="0.4">
      <c r="A22" s="50">
        <v>2013</v>
      </c>
      <c r="B22" s="27">
        <v>550</v>
      </c>
      <c r="C22" s="27">
        <v>13</v>
      </c>
      <c r="D22" s="27">
        <v>29</v>
      </c>
      <c r="E22" s="27">
        <v>97</v>
      </c>
      <c r="F22" s="27">
        <v>90</v>
      </c>
      <c r="G22" s="27">
        <v>34</v>
      </c>
      <c r="H22" s="27">
        <v>73</v>
      </c>
      <c r="I22" s="27">
        <v>45</v>
      </c>
      <c r="J22" s="27">
        <v>25</v>
      </c>
      <c r="K22" s="27">
        <v>144</v>
      </c>
    </row>
    <row r="23" spans="1:11" ht="9.75" customHeight="1" x14ac:dyDescent="0.4">
      <c r="A23" s="50">
        <v>2014</v>
      </c>
      <c r="B23" s="27">
        <v>562</v>
      </c>
      <c r="C23" s="27">
        <v>13</v>
      </c>
      <c r="D23" s="27">
        <v>29</v>
      </c>
      <c r="E23" s="27">
        <v>98</v>
      </c>
      <c r="F23" s="27">
        <v>90</v>
      </c>
      <c r="G23" s="27">
        <v>37</v>
      </c>
      <c r="H23" s="27">
        <v>75</v>
      </c>
      <c r="I23" s="27">
        <v>45</v>
      </c>
      <c r="J23" s="27">
        <v>25</v>
      </c>
      <c r="K23" s="27">
        <v>150</v>
      </c>
    </row>
    <row r="24" spans="1:11" ht="9.75" customHeight="1" x14ac:dyDescent="0.4">
      <c r="A24" s="50">
        <v>2015</v>
      </c>
      <c r="B24" s="27">
        <v>557</v>
      </c>
      <c r="C24" s="27">
        <v>16</v>
      </c>
      <c r="D24" s="27">
        <v>29</v>
      </c>
      <c r="E24" s="27">
        <v>95</v>
      </c>
      <c r="F24" s="27">
        <v>90</v>
      </c>
      <c r="G24" s="27">
        <v>36</v>
      </c>
      <c r="H24" s="27">
        <v>75</v>
      </c>
      <c r="I24" s="27">
        <v>45</v>
      </c>
      <c r="J24" s="27">
        <v>25</v>
      </c>
      <c r="K24" s="27">
        <v>146</v>
      </c>
    </row>
    <row r="25" spans="1:11" ht="9.75" customHeight="1" x14ac:dyDescent="0.4">
      <c r="A25" s="50">
        <v>2016</v>
      </c>
      <c r="B25" s="27">
        <v>556</v>
      </c>
      <c r="C25" s="27">
        <v>15</v>
      </c>
      <c r="D25" s="27">
        <v>29</v>
      </c>
      <c r="E25" s="27">
        <v>94</v>
      </c>
      <c r="F25" s="27">
        <v>91</v>
      </c>
      <c r="G25" s="27">
        <v>36</v>
      </c>
      <c r="H25" s="27">
        <v>74</v>
      </c>
      <c r="I25" s="27">
        <v>45</v>
      </c>
      <c r="J25" s="27">
        <v>26</v>
      </c>
      <c r="K25" s="27">
        <v>146</v>
      </c>
    </row>
    <row r="26" spans="1:11" ht="9.75" customHeight="1" x14ac:dyDescent="0.4">
      <c r="A26" s="50">
        <v>2017</v>
      </c>
      <c r="B26" s="27">
        <v>562</v>
      </c>
      <c r="C26" s="27">
        <v>15</v>
      </c>
      <c r="D26" s="27">
        <v>29</v>
      </c>
      <c r="E26" s="27">
        <v>94</v>
      </c>
      <c r="F26" s="27">
        <v>91</v>
      </c>
      <c r="G26" s="27">
        <v>36</v>
      </c>
      <c r="H26" s="27">
        <v>80</v>
      </c>
      <c r="I26" s="27">
        <v>46</v>
      </c>
      <c r="J26" s="27">
        <v>26</v>
      </c>
      <c r="K26" s="27">
        <v>145</v>
      </c>
    </row>
    <row r="27" spans="1:11" ht="9.75" customHeight="1" x14ac:dyDescent="0.4">
      <c r="A27" s="50">
        <v>2018</v>
      </c>
      <c r="B27" s="27">
        <v>577</v>
      </c>
      <c r="C27" s="27">
        <v>20</v>
      </c>
      <c r="D27" s="27">
        <v>29</v>
      </c>
      <c r="E27" s="27">
        <v>98</v>
      </c>
      <c r="F27" s="27">
        <v>93</v>
      </c>
      <c r="G27" s="27">
        <v>36</v>
      </c>
      <c r="H27" s="27">
        <v>81</v>
      </c>
      <c r="I27" s="27">
        <v>47</v>
      </c>
      <c r="J27" s="27">
        <v>26</v>
      </c>
      <c r="K27" s="27">
        <v>147</v>
      </c>
    </row>
    <row r="28" spans="1:11" ht="9.75" customHeight="1" x14ac:dyDescent="0.4">
      <c r="A28" s="50">
        <v>2019</v>
      </c>
      <c r="B28" s="27">
        <f>SUM(C28:K28)</f>
        <v>569</v>
      </c>
      <c r="C28" s="27">
        <v>20</v>
      </c>
      <c r="D28" s="27">
        <v>29</v>
      </c>
      <c r="E28" s="27">
        <v>98</v>
      </c>
      <c r="F28" s="27">
        <v>93</v>
      </c>
      <c r="G28" s="27">
        <v>38</v>
      </c>
      <c r="H28" s="27">
        <v>80</v>
      </c>
      <c r="I28" s="27">
        <v>47</v>
      </c>
      <c r="J28" s="27">
        <v>26</v>
      </c>
      <c r="K28" s="27">
        <v>138</v>
      </c>
    </row>
    <row r="29" spans="1:11" ht="9.75" customHeight="1" x14ac:dyDescent="0.4"/>
    <row r="30" spans="1:11" ht="29.25" customHeight="1" x14ac:dyDescent="0.4">
      <c r="A30" s="55" t="s">
        <v>38</v>
      </c>
      <c r="B30" s="55"/>
      <c r="C30" s="55"/>
      <c r="D30" s="55"/>
      <c r="E30" s="55"/>
      <c r="F30" s="55"/>
      <c r="G30" s="55"/>
      <c r="H30" s="55"/>
      <c r="I30" s="55"/>
      <c r="J30" s="55"/>
      <c r="K30" s="55"/>
    </row>
    <row r="31" spans="1:11" ht="9.75" customHeight="1" x14ac:dyDescent="0.4">
      <c r="A31" s="52"/>
      <c r="B31" s="52"/>
      <c r="C31" s="52"/>
      <c r="D31" s="52"/>
      <c r="E31" s="52"/>
      <c r="F31" s="52"/>
      <c r="G31" s="52"/>
      <c r="H31" s="52"/>
      <c r="I31" s="52"/>
      <c r="J31" s="52"/>
      <c r="K31" s="52"/>
    </row>
    <row r="32" spans="1:11" ht="9.75" customHeight="1" x14ac:dyDescent="0.4"/>
    <row r="33" spans="1:1" ht="9.75" customHeight="1" x14ac:dyDescent="0.4"/>
    <row r="34" spans="1:1" ht="9.75" customHeight="1" x14ac:dyDescent="0.4"/>
    <row r="35" spans="1:1" ht="9.75" customHeight="1" x14ac:dyDescent="0.4">
      <c r="A35" s="53"/>
    </row>
    <row r="36" spans="1:1" ht="9.75" customHeight="1" x14ac:dyDescent="0.4">
      <c r="A36" s="47"/>
    </row>
    <row r="37" spans="1:1" ht="9.75" customHeight="1" x14ac:dyDescent="0.4">
      <c r="A37" s="44"/>
    </row>
    <row r="38" spans="1:1" ht="9.75" customHeight="1" x14ac:dyDescent="0.4">
      <c r="A38" s="17"/>
    </row>
    <row r="39" spans="1:1" ht="9.75" customHeight="1" x14ac:dyDescent="0.4"/>
    <row r="40" spans="1:1" ht="9.75" customHeight="1" x14ac:dyDescent="0.4"/>
    <row r="41" spans="1:1" ht="9.75" customHeight="1" x14ac:dyDescent="0.4"/>
    <row r="42" spans="1:1" ht="9.75" customHeight="1" x14ac:dyDescent="0.4"/>
    <row r="43" spans="1:1" ht="9.75" customHeight="1" x14ac:dyDescent="0.4"/>
    <row r="44" spans="1:1" ht="9.75" customHeight="1" x14ac:dyDescent="0.4"/>
    <row r="45" spans="1:1" ht="9.75" customHeight="1" x14ac:dyDescent="0.4"/>
    <row r="46" spans="1:1" ht="9.75" customHeight="1" x14ac:dyDescent="0.4"/>
    <row r="47" spans="1:1" ht="9.75" customHeight="1" x14ac:dyDescent="0.4"/>
    <row r="48" spans="1:1" ht="9.75" customHeight="1" x14ac:dyDescent="0.4"/>
    <row r="49" ht="9.75" customHeight="1" x14ac:dyDescent="0.4"/>
    <row r="50" ht="9.75" customHeight="1" x14ac:dyDescent="0.4"/>
    <row r="51" ht="9.75" customHeight="1" x14ac:dyDescent="0.4"/>
    <row r="52" ht="9.75" customHeight="1" x14ac:dyDescent="0.4"/>
    <row r="53" ht="9.75" customHeight="1" x14ac:dyDescent="0.4"/>
    <row r="54" ht="9.75" customHeight="1" x14ac:dyDescent="0.4"/>
    <row r="55" ht="9.75" customHeight="1" x14ac:dyDescent="0.4"/>
    <row r="56" ht="9.75" customHeight="1" x14ac:dyDescent="0.4"/>
    <row r="57" ht="9.75" customHeight="1" x14ac:dyDescent="0.4"/>
    <row r="58" ht="9.75" customHeight="1" x14ac:dyDescent="0.4"/>
    <row r="59" ht="9.75" customHeight="1" x14ac:dyDescent="0.4"/>
    <row r="60" ht="9.75" customHeight="1" x14ac:dyDescent="0.4"/>
    <row r="61" ht="9.75" customHeight="1" x14ac:dyDescent="0.4"/>
    <row r="62" ht="9.75" customHeight="1" x14ac:dyDescent="0.4"/>
    <row r="63" ht="9.75" customHeight="1" x14ac:dyDescent="0.4"/>
    <row r="64" ht="9.75" customHeight="1" x14ac:dyDescent="0.4"/>
    <row r="65" ht="9.75" customHeight="1" x14ac:dyDescent="0.4"/>
    <row r="66" ht="9.75" customHeight="1" x14ac:dyDescent="0.4"/>
    <row r="67" ht="9.75" customHeight="1" x14ac:dyDescent="0.4"/>
    <row r="68" ht="9.75" customHeight="1" x14ac:dyDescent="0.4"/>
    <row r="69" ht="9.75" customHeight="1" x14ac:dyDescent="0.4"/>
    <row r="70" ht="9.75" customHeight="1" x14ac:dyDescent="0.4"/>
    <row r="71" ht="9.75" customHeight="1" x14ac:dyDescent="0.4"/>
    <row r="72" ht="9.75" customHeight="1" x14ac:dyDescent="0.4"/>
    <row r="73" ht="9.75" customHeight="1" x14ac:dyDescent="0.4"/>
    <row r="74" ht="9.75" customHeight="1" x14ac:dyDescent="0.4"/>
    <row r="75" ht="9.75" customHeight="1" x14ac:dyDescent="0.4"/>
    <row r="76" ht="9.75" customHeight="1" x14ac:dyDescent="0.4"/>
    <row r="77" ht="9.75" customHeight="1" x14ac:dyDescent="0.4"/>
    <row r="78" ht="9.75" customHeight="1" x14ac:dyDescent="0.4"/>
    <row r="79" ht="9.75" customHeight="1" x14ac:dyDescent="0.4"/>
  </sheetData>
  <mergeCells count="2">
    <mergeCell ref="A1:K1"/>
    <mergeCell ref="A30:K30"/>
  </mergeCells>
  <printOptions horizontalCentered="1"/>
  <pageMargins left="0.78740157480314998" right="0.78740157480314998" top="0.78740157480315021" bottom="0.78740157480315021" header="0.31496062992126012" footer="0.31496062992126012"/>
  <pageSetup paperSize="0"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8"/>
  <sheetViews>
    <sheetView workbookViewId="0"/>
  </sheetViews>
  <sheetFormatPr baseColWidth="10" defaultColWidth="11.5546875" defaultRowHeight="15" x14ac:dyDescent="0.4"/>
  <cols>
    <col min="1" max="1" width="4.88671875" customWidth="1"/>
    <col min="2" max="11" width="6.6640625" customWidth="1"/>
    <col min="12" max="12" width="11.5546875" customWidth="1"/>
  </cols>
  <sheetData>
    <row r="1" spans="1:12" ht="12" customHeight="1" x14ac:dyDescent="0.4">
      <c r="A1" s="54" t="s">
        <v>3</v>
      </c>
      <c r="B1" s="54"/>
      <c r="C1" s="54"/>
      <c r="D1" s="54"/>
      <c r="E1" s="54"/>
      <c r="F1" s="54"/>
      <c r="G1" s="54"/>
      <c r="H1" s="54"/>
      <c r="I1" s="54"/>
      <c r="J1" s="54"/>
      <c r="K1" s="54"/>
    </row>
    <row r="2" spans="1:12" ht="12" customHeight="1" x14ac:dyDescent="0.4">
      <c r="A2" s="41"/>
      <c r="B2" s="41"/>
      <c r="C2" s="42"/>
      <c r="D2" s="42"/>
      <c r="E2" s="42"/>
      <c r="F2" s="42"/>
      <c r="G2" s="42"/>
      <c r="H2" s="42"/>
      <c r="I2" s="42"/>
      <c r="J2" s="42"/>
      <c r="K2" s="42"/>
      <c r="L2" s="12"/>
    </row>
    <row r="3" spans="1:12" ht="25.5" customHeight="1" x14ac:dyDescent="0.4">
      <c r="A3" s="43" t="s">
        <v>39</v>
      </c>
      <c r="B3" s="14" t="s">
        <v>12</v>
      </c>
      <c r="C3" s="14" t="s">
        <v>13</v>
      </c>
      <c r="D3" s="15" t="s">
        <v>14</v>
      </c>
      <c r="E3" s="14" t="s">
        <v>15</v>
      </c>
      <c r="F3" s="14" t="s">
        <v>16</v>
      </c>
      <c r="G3" s="15" t="s">
        <v>17</v>
      </c>
      <c r="H3" s="14" t="s">
        <v>18</v>
      </c>
      <c r="I3" s="15" t="s">
        <v>19</v>
      </c>
      <c r="J3" s="14" t="s">
        <v>20</v>
      </c>
      <c r="K3" s="16" t="s">
        <v>21</v>
      </c>
    </row>
    <row r="4" spans="1:12" s="23" customFormat="1" ht="15" customHeight="1" x14ac:dyDescent="0.25">
      <c r="A4" s="44">
        <v>1975</v>
      </c>
      <c r="B4" s="24">
        <v>179725</v>
      </c>
      <c r="C4" s="24">
        <v>10950</v>
      </c>
      <c r="D4" s="24">
        <v>13435</v>
      </c>
      <c r="E4" s="24">
        <v>42025</v>
      </c>
      <c r="F4" s="24">
        <v>29651</v>
      </c>
      <c r="G4" s="24">
        <v>10656</v>
      </c>
      <c r="H4" s="24">
        <v>24228</v>
      </c>
      <c r="I4" s="24">
        <v>11802</v>
      </c>
      <c r="J4" s="24">
        <v>5796</v>
      </c>
      <c r="K4" s="24">
        <v>31182</v>
      </c>
      <c r="L4" s="56"/>
    </row>
    <row r="5" spans="1:12" s="23" customFormat="1" ht="9.75" customHeight="1" x14ac:dyDescent="0.25">
      <c r="A5" s="44">
        <v>1980</v>
      </c>
      <c r="B5" s="24">
        <v>146230</v>
      </c>
      <c r="C5" s="24">
        <v>8843</v>
      </c>
      <c r="D5" s="24">
        <v>10301</v>
      </c>
      <c r="E5" s="24">
        <v>33799</v>
      </c>
      <c r="F5" s="24">
        <v>25719</v>
      </c>
      <c r="G5" s="24">
        <v>8504</v>
      </c>
      <c r="H5" s="24">
        <v>19377</v>
      </c>
      <c r="I5" s="24">
        <v>10334</v>
      </c>
      <c r="J5" s="24">
        <v>5160</v>
      </c>
      <c r="K5" s="24">
        <v>24193</v>
      </c>
      <c r="L5" s="57"/>
    </row>
    <row r="6" spans="1:12" s="23" customFormat="1" ht="9.75" customHeight="1" x14ac:dyDescent="0.25">
      <c r="A6" s="44">
        <v>1985</v>
      </c>
      <c r="B6" s="24">
        <v>128876</v>
      </c>
      <c r="C6" s="24">
        <v>5274</v>
      </c>
      <c r="D6" s="24">
        <v>10432</v>
      </c>
      <c r="E6" s="24">
        <v>24068</v>
      </c>
      <c r="F6" s="24">
        <v>24292</v>
      </c>
      <c r="G6" s="24">
        <v>8654</v>
      </c>
      <c r="H6" s="24">
        <v>19599</v>
      </c>
      <c r="I6" s="24">
        <v>9094</v>
      </c>
      <c r="J6" s="24">
        <v>5445</v>
      </c>
      <c r="K6" s="24">
        <v>22018</v>
      </c>
      <c r="L6" s="48"/>
    </row>
    <row r="7" spans="1:12" s="23" customFormat="1" ht="9.75" customHeight="1" x14ac:dyDescent="0.25">
      <c r="A7" s="44">
        <v>1990</v>
      </c>
      <c r="B7" s="24">
        <v>76986</v>
      </c>
      <c r="C7" s="24">
        <v>2272</v>
      </c>
      <c r="D7" s="24">
        <v>6172</v>
      </c>
      <c r="E7" s="24">
        <v>11779</v>
      </c>
      <c r="F7" s="24">
        <v>12638</v>
      </c>
      <c r="G7" s="24">
        <v>5910</v>
      </c>
      <c r="H7" s="24">
        <v>10068</v>
      </c>
      <c r="I7" s="24">
        <v>6786</v>
      </c>
      <c r="J7" s="24">
        <v>3608</v>
      </c>
      <c r="K7" s="24">
        <v>17753</v>
      </c>
      <c r="L7" s="45"/>
    </row>
    <row r="8" spans="1:12" s="23" customFormat="1" ht="9.75" customHeight="1" x14ac:dyDescent="0.25">
      <c r="A8" s="44">
        <v>1995</v>
      </c>
      <c r="B8" s="24">
        <v>72716</v>
      </c>
      <c r="C8" s="24">
        <v>2304</v>
      </c>
      <c r="D8" s="24">
        <v>5842</v>
      </c>
      <c r="E8" s="24">
        <v>11955</v>
      </c>
      <c r="F8" s="24">
        <v>13217</v>
      </c>
      <c r="G8" s="24">
        <v>5021</v>
      </c>
      <c r="H8" s="24">
        <v>8021</v>
      </c>
      <c r="I8" s="24">
        <v>5615</v>
      </c>
      <c r="J8" s="24">
        <v>2798</v>
      </c>
      <c r="K8" s="24">
        <v>17943</v>
      </c>
      <c r="L8" s="45"/>
    </row>
    <row r="9" spans="1:12" s="23" customFormat="1" ht="9.75" customHeight="1" x14ac:dyDescent="0.25">
      <c r="A9" s="44">
        <v>2000</v>
      </c>
      <c r="B9" s="24">
        <v>97629</v>
      </c>
      <c r="C9" s="24">
        <v>2017</v>
      </c>
      <c r="D9" s="24">
        <v>6005</v>
      </c>
      <c r="E9" s="24">
        <v>16879</v>
      </c>
      <c r="F9" s="24">
        <v>14276</v>
      </c>
      <c r="G9" s="24">
        <v>5582</v>
      </c>
      <c r="H9" s="24">
        <v>13585</v>
      </c>
      <c r="I9" s="24">
        <v>6346</v>
      </c>
      <c r="J9" s="24">
        <v>4140</v>
      </c>
      <c r="K9" s="24">
        <v>28799</v>
      </c>
      <c r="L9" s="45"/>
    </row>
    <row r="10" spans="1:12" s="23" customFormat="1" ht="9.75" customHeight="1" x14ac:dyDescent="0.25">
      <c r="A10" s="44">
        <v>2001</v>
      </c>
      <c r="B10" s="27">
        <v>106722</v>
      </c>
      <c r="C10" s="27">
        <v>1887</v>
      </c>
      <c r="D10" s="27">
        <v>4465</v>
      </c>
      <c r="E10" s="27">
        <v>16128</v>
      </c>
      <c r="F10" s="27">
        <v>15250</v>
      </c>
      <c r="G10" s="27">
        <v>7432</v>
      </c>
      <c r="H10" s="27">
        <v>13257</v>
      </c>
      <c r="I10" s="27">
        <v>6779</v>
      </c>
      <c r="J10" s="27">
        <v>4140</v>
      </c>
      <c r="K10" s="27">
        <v>37384</v>
      </c>
      <c r="L10" s="45"/>
    </row>
    <row r="11" spans="1:12" s="23" customFormat="1" ht="9.75" customHeight="1" x14ac:dyDescent="0.25">
      <c r="A11" s="44">
        <v>2002</v>
      </c>
      <c r="B11" s="24">
        <v>104077</v>
      </c>
      <c r="C11" s="45">
        <v>1780</v>
      </c>
      <c r="D11" s="45">
        <v>6117</v>
      </c>
      <c r="E11" s="45">
        <v>16363</v>
      </c>
      <c r="F11" s="45">
        <v>15821</v>
      </c>
      <c r="G11" s="45">
        <v>7432</v>
      </c>
      <c r="H11" s="45">
        <v>13257</v>
      </c>
      <c r="I11" s="45">
        <v>6779</v>
      </c>
      <c r="J11" s="45">
        <v>4140</v>
      </c>
      <c r="K11" s="45">
        <v>32388</v>
      </c>
      <c r="L11" s="45"/>
    </row>
    <row r="12" spans="1:12" s="23" customFormat="1" ht="9.75" customHeight="1" x14ac:dyDescent="0.25">
      <c r="A12" s="44">
        <v>2003</v>
      </c>
      <c r="B12" s="24">
        <v>100725</v>
      </c>
      <c r="C12" s="45">
        <v>1787</v>
      </c>
      <c r="D12" s="45">
        <v>5642</v>
      </c>
      <c r="E12" s="45">
        <v>15684</v>
      </c>
      <c r="F12" s="45">
        <v>13017</v>
      </c>
      <c r="G12" s="45">
        <v>7374</v>
      </c>
      <c r="H12" s="45">
        <v>13502</v>
      </c>
      <c r="I12" s="45">
        <v>7289</v>
      </c>
      <c r="J12" s="45">
        <v>4051</v>
      </c>
      <c r="K12" s="45">
        <v>32379</v>
      </c>
      <c r="L12" s="45"/>
    </row>
    <row r="13" spans="1:12" s="23" customFormat="1" ht="9.75" customHeight="1" x14ac:dyDescent="0.25">
      <c r="A13" s="44">
        <v>2004</v>
      </c>
      <c r="B13" s="24">
        <v>101269</v>
      </c>
      <c r="C13" s="45">
        <v>1787</v>
      </c>
      <c r="D13" s="45">
        <v>5642</v>
      </c>
      <c r="E13" s="45">
        <v>14834</v>
      </c>
      <c r="F13" s="45">
        <v>14183</v>
      </c>
      <c r="G13" s="45">
        <v>7374</v>
      </c>
      <c r="H13" s="45">
        <v>13502</v>
      </c>
      <c r="I13" s="45">
        <v>8395</v>
      </c>
      <c r="J13" s="45">
        <v>4051</v>
      </c>
      <c r="K13" s="45">
        <v>31501</v>
      </c>
      <c r="L13" s="45"/>
    </row>
    <row r="14" spans="1:12" s="23" customFormat="1" ht="9.75" customHeight="1" x14ac:dyDescent="0.25">
      <c r="A14" s="44">
        <v>2005</v>
      </c>
      <c r="B14" s="24">
        <v>101608</v>
      </c>
      <c r="C14" s="45">
        <v>1787</v>
      </c>
      <c r="D14" s="45">
        <v>5642</v>
      </c>
      <c r="E14" s="45">
        <v>14832</v>
      </c>
      <c r="F14" s="45">
        <v>13759</v>
      </c>
      <c r="G14" s="45">
        <v>7374</v>
      </c>
      <c r="H14" s="45">
        <v>13502</v>
      </c>
      <c r="I14" s="45">
        <v>8345</v>
      </c>
      <c r="J14" s="45">
        <v>4051</v>
      </c>
      <c r="K14" s="45">
        <v>32316</v>
      </c>
      <c r="L14" s="45"/>
    </row>
    <row r="15" spans="1:12" s="23" customFormat="1" ht="9.75" customHeight="1" x14ac:dyDescent="0.25">
      <c r="A15" s="44">
        <v>2006</v>
      </c>
      <c r="B15" s="24">
        <v>104363</v>
      </c>
      <c r="C15" s="45">
        <v>1787</v>
      </c>
      <c r="D15" s="45">
        <v>5936</v>
      </c>
      <c r="E15" s="45">
        <v>15589</v>
      </c>
      <c r="F15" s="45">
        <v>14556</v>
      </c>
      <c r="G15" s="45">
        <v>8354</v>
      </c>
      <c r="H15" s="45">
        <v>13327</v>
      </c>
      <c r="I15" s="45">
        <v>8288</v>
      </c>
      <c r="J15" s="45">
        <v>4051</v>
      </c>
      <c r="K15" s="45">
        <v>32475</v>
      </c>
      <c r="L15" s="45"/>
    </row>
    <row r="16" spans="1:12" s="23" customFormat="1" ht="9.75" customHeight="1" x14ac:dyDescent="0.25">
      <c r="A16" s="44">
        <v>2007</v>
      </c>
      <c r="B16" s="27">
        <v>101438</v>
      </c>
      <c r="C16" s="45">
        <v>1787</v>
      </c>
      <c r="D16" s="45">
        <v>5956</v>
      </c>
      <c r="E16" s="37">
        <v>13970</v>
      </c>
      <c r="F16" s="45">
        <v>14101</v>
      </c>
      <c r="G16" s="45">
        <v>8078</v>
      </c>
      <c r="H16" s="45">
        <v>12942</v>
      </c>
      <c r="I16" s="45">
        <v>7836</v>
      </c>
      <c r="J16" s="45">
        <v>4557</v>
      </c>
      <c r="K16" s="45">
        <v>32211</v>
      </c>
      <c r="L16" s="45"/>
    </row>
    <row r="17" spans="1:12" s="23" customFormat="1" ht="9.75" customHeight="1" x14ac:dyDescent="0.25">
      <c r="A17" s="44">
        <v>2008</v>
      </c>
      <c r="B17" s="24">
        <v>104214</v>
      </c>
      <c r="C17" s="45">
        <v>2582</v>
      </c>
      <c r="D17" s="45">
        <v>5956</v>
      </c>
      <c r="E17" s="37">
        <v>14366</v>
      </c>
      <c r="F17" s="45">
        <v>14876</v>
      </c>
      <c r="G17" s="45">
        <v>8178</v>
      </c>
      <c r="H17" s="45">
        <v>13652</v>
      </c>
      <c r="I17" s="45">
        <v>7836</v>
      </c>
      <c r="J17" s="45">
        <v>4557</v>
      </c>
      <c r="K17" s="45">
        <v>32211</v>
      </c>
      <c r="L17" s="45"/>
    </row>
    <row r="18" spans="1:12" s="23" customFormat="1" ht="9.75" customHeight="1" x14ac:dyDescent="0.25">
      <c r="A18" s="50">
        <v>2009</v>
      </c>
      <c r="B18" s="27">
        <v>104587</v>
      </c>
      <c r="C18" s="45">
        <v>2757</v>
      </c>
      <c r="D18" s="45">
        <v>5759</v>
      </c>
      <c r="E18" s="45">
        <v>15320</v>
      </c>
      <c r="F18" s="45">
        <v>14876</v>
      </c>
      <c r="G18" s="45">
        <v>8178</v>
      </c>
      <c r="H18" s="45">
        <v>13497</v>
      </c>
      <c r="I18" s="45">
        <v>7836</v>
      </c>
      <c r="J18" s="45">
        <v>4545</v>
      </c>
      <c r="K18" s="45">
        <v>31819</v>
      </c>
    </row>
    <row r="19" spans="1:12" s="23" customFormat="1" ht="9.75" customHeight="1" x14ac:dyDescent="0.25">
      <c r="A19" s="50">
        <v>2010</v>
      </c>
      <c r="B19" s="27">
        <v>103295</v>
      </c>
      <c r="C19" s="37">
        <v>2757</v>
      </c>
      <c r="D19" s="37">
        <v>5759</v>
      </c>
      <c r="E19" s="37">
        <v>15228</v>
      </c>
      <c r="F19" s="37">
        <v>13602</v>
      </c>
      <c r="G19" s="37">
        <v>8178</v>
      </c>
      <c r="H19" s="37">
        <v>13497</v>
      </c>
      <c r="I19" s="37">
        <v>7836</v>
      </c>
      <c r="J19" s="37">
        <v>4619</v>
      </c>
      <c r="K19" s="37">
        <v>31819</v>
      </c>
    </row>
    <row r="20" spans="1:12" s="23" customFormat="1" ht="9.75" customHeight="1" x14ac:dyDescent="0.25">
      <c r="A20" s="50">
        <v>2011</v>
      </c>
      <c r="B20" s="27">
        <v>101800</v>
      </c>
      <c r="C20" s="37">
        <v>2084</v>
      </c>
      <c r="D20" s="37">
        <v>5759</v>
      </c>
      <c r="E20" s="37">
        <v>15482</v>
      </c>
      <c r="F20" s="37">
        <v>14915</v>
      </c>
      <c r="G20" s="37">
        <v>8978</v>
      </c>
      <c r="H20" s="37">
        <v>13677</v>
      </c>
      <c r="I20" s="37">
        <v>7773</v>
      </c>
      <c r="J20" s="37">
        <v>4470</v>
      </c>
      <c r="K20" s="37">
        <v>28662</v>
      </c>
    </row>
    <row r="21" spans="1:12" s="23" customFormat="1" ht="9.75" customHeight="1" x14ac:dyDescent="0.25">
      <c r="A21" s="50">
        <v>2012</v>
      </c>
      <c r="B21" s="27">
        <v>99979</v>
      </c>
      <c r="C21" s="27">
        <v>2084</v>
      </c>
      <c r="D21" s="27">
        <v>5759</v>
      </c>
      <c r="E21" s="27">
        <v>15482</v>
      </c>
      <c r="F21" s="27">
        <v>14018</v>
      </c>
      <c r="G21" s="27">
        <v>8048</v>
      </c>
      <c r="H21" s="27">
        <v>13677</v>
      </c>
      <c r="I21" s="27">
        <v>7773</v>
      </c>
      <c r="J21" s="27">
        <v>4498</v>
      </c>
      <c r="K21" s="27">
        <v>28640</v>
      </c>
    </row>
    <row r="22" spans="1:12" s="23" customFormat="1" ht="9.75" customHeight="1" x14ac:dyDescent="0.25">
      <c r="A22" s="50">
        <v>2013</v>
      </c>
      <c r="B22" s="27">
        <v>95060</v>
      </c>
      <c r="C22" s="27">
        <v>1736</v>
      </c>
      <c r="D22" s="27">
        <v>5891</v>
      </c>
      <c r="E22" s="27">
        <v>15144</v>
      </c>
      <c r="F22" s="27">
        <v>13451</v>
      </c>
      <c r="G22" s="27">
        <v>7178</v>
      </c>
      <c r="H22" s="27">
        <v>12859</v>
      </c>
      <c r="I22" s="27">
        <v>7694</v>
      </c>
      <c r="J22" s="27">
        <v>4450</v>
      </c>
      <c r="K22" s="27">
        <v>26657</v>
      </c>
    </row>
    <row r="23" spans="1:12" s="23" customFormat="1" ht="9.75" customHeight="1" x14ac:dyDescent="0.25">
      <c r="A23" s="50">
        <v>2014</v>
      </c>
      <c r="B23" s="27">
        <v>96752</v>
      </c>
      <c r="C23" s="27">
        <v>1739</v>
      </c>
      <c r="D23" s="27">
        <v>5891</v>
      </c>
      <c r="E23" s="27">
        <v>15232</v>
      </c>
      <c r="F23" s="27">
        <v>13857</v>
      </c>
      <c r="G23" s="27">
        <v>7892</v>
      </c>
      <c r="H23" s="27">
        <v>13159</v>
      </c>
      <c r="I23" s="27">
        <v>7694</v>
      </c>
      <c r="J23" s="27">
        <v>4450</v>
      </c>
      <c r="K23" s="27">
        <v>26838</v>
      </c>
    </row>
    <row r="24" spans="1:12" s="23" customFormat="1" ht="9.75" customHeight="1" x14ac:dyDescent="0.25">
      <c r="A24" s="50">
        <v>2015</v>
      </c>
      <c r="B24" s="27">
        <v>95327</v>
      </c>
      <c r="C24" s="27">
        <v>1936</v>
      </c>
      <c r="D24" s="27">
        <v>5912</v>
      </c>
      <c r="E24" s="27">
        <v>14050</v>
      </c>
      <c r="F24" s="27">
        <v>14412</v>
      </c>
      <c r="G24" s="27">
        <v>7254</v>
      </c>
      <c r="H24" s="27">
        <v>12427</v>
      </c>
      <c r="I24" s="27">
        <v>8012</v>
      </c>
      <c r="J24" s="27">
        <v>4720</v>
      </c>
      <c r="K24" s="27">
        <v>26604</v>
      </c>
    </row>
    <row r="25" spans="1:12" s="23" customFormat="1" ht="9.75" customHeight="1" x14ac:dyDescent="0.25">
      <c r="A25" s="50">
        <v>2016</v>
      </c>
      <c r="B25" s="27">
        <v>93026</v>
      </c>
      <c r="C25" s="27">
        <v>1734</v>
      </c>
      <c r="D25" s="27">
        <v>5916</v>
      </c>
      <c r="E25" s="27">
        <v>13840</v>
      </c>
      <c r="F25" s="27">
        <v>13687</v>
      </c>
      <c r="G25" s="27">
        <v>7075</v>
      </c>
      <c r="H25" s="27">
        <v>12449</v>
      </c>
      <c r="I25" s="27">
        <v>7625</v>
      </c>
      <c r="J25" s="27">
        <v>4378</v>
      </c>
      <c r="K25" s="27">
        <v>26322</v>
      </c>
    </row>
    <row r="26" spans="1:12" s="23" customFormat="1" ht="9.75" customHeight="1" x14ac:dyDescent="0.25">
      <c r="A26" s="50">
        <v>2017</v>
      </c>
      <c r="B26" s="27">
        <v>94100</v>
      </c>
      <c r="C26" s="27">
        <v>1734</v>
      </c>
      <c r="D26" s="27">
        <v>5916</v>
      </c>
      <c r="E26" s="27">
        <v>13840</v>
      </c>
      <c r="F26" s="27">
        <v>13687</v>
      </c>
      <c r="G26" s="27">
        <v>7075</v>
      </c>
      <c r="H26" s="27">
        <v>13523</v>
      </c>
      <c r="I26" s="27">
        <v>7725</v>
      </c>
      <c r="J26" s="27">
        <v>4378</v>
      </c>
      <c r="K26" s="27">
        <v>26222</v>
      </c>
    </row>
    <row r="27" spans="1:12" s="23" customFormat="1" ht="9.75" customHeight="1" x14ac:dyDescent="0.25">
      <c r="A27" s="50">
        <v>2018</v>
      </c>
      <c r="B27" s="27">
        <v>93943</v>
      </c>
      <c r="C27" s="27">
        <v>2537</v>
      </c>
      <c r="D27" s="27">
        <v>5909</v>
      </c>
      <c r="E27" s="27">
        <v>14120</v>
      </c>
      <c r="F27" s="27">
        <v>13326</v>
      </c>
      <c r="G27" s="27">
        <v>7088</v>
      </c>
      <c r="H27" s="27">
        <v>13211</v>
      </c>
      <c r="I27" s="27">
        <v>7569</v>
      </c>
      <c r="J27" s="27">
        <v>4320</v>
      </c>
      <c r="K27" s="27">
        <v>25863</v>
      </c>
    </row>
    <row r="28" spans="1:12" s="23" customFormat="1" ht="9.75" customHeight="1" x14ac:dyDescent="0.25">
      <c r="A28" s="50">
        <v>2019</v>
      </c>
      <c r="B28" s="27">
        <f>SUM(C28:K28)</f>
        <v>91992</v>
      </c>
      <c r="C28" s="37">
        <v>2520</v>
      </c>
      <c r="D28" s="37">
        <v>5663</v>
      </c>
      <c r="E28" s="37">
        <v>13790</v>
      </c>
      <c r="F28" s="37">
        <v>13342</v>
      </c>
      <c r="G28" s="37">
        <v>7230</v>
      </c>
      <c r="H28" s="37">
        <v>12903</v>
      </c>
      <c r="I28" s="37">
        <v>7521</v>
      </c>
      <c r="J28" s="37">
        <v>4347</v>
      </c>
      <c r="K28" s="37">
        <v>24676</v>
      </c>
    </row>
    <row r="29" spans="1:12" s="23" customFormat="1" ht="9.75" customHeight="1" x14ac:dyDescent="0.25"/>
    <row r="30" spans="1:12" ht="19.5" customHeight="1" x14ac:dyDescent="0.4">
      <c r="A30" s="55" t="s">
        <v>40</v>
      </c>
      <c r="B30" s="55"/>
      <c r="C30" s="55"/>
      <c r="D30" s="55"/>
      <c r="E30" s="55"/>
      <c r="F30" s="55"/>
      <c r="G30" s="55"/>
      <c r="H30" s="55"/>
      <c r="I30" s="55"/>
      <c r="J30" s="55"/>
      <c r="K30" s="55"/>
    </row>
    <row r="31" spans="1:12" ht="9.75" customHeight="1" x14ac:dyDescent="0.4"/>
    <row r="32" spans="1:12" ht="9.75" customHeight="1" x14ac:dyDescent="0.4"/>
    <row r="33" spans="1:1" ht="9.75" customHeight="1" x14ac:dyDescent="0.4">
      <c r="A33" s="53"/>
    </row>
    <row r="34" spans="1:1" ht="9.75" customHeight="1" x14ac:dyDescent="0.4">
      <c r="A34" s="47"/>
    </row>
    <row r="35" spans="1:1" ht="9.75" customHeight="1" x14ac:dyDescent="0.4">
      <c r="A35" s="44"/>
    </row>
    <row r="36" spans="1:1" ht="9.75" customHeight="1" x14ac:dyDescent="0.4">
      <c r="A36" s="17"/>
    </row>
    <row r="37" spans="1:1" ht="9.75" customHeight="1" x14ac:dyDescent="0.4"/>
    <row r="38" spans="1:1" ht="9.75" customHeight="1" x14ac:dyDescent="0.4"/>
    <row r="39" spans="1:1" ht="9.75" customHeight="1" x14ac:dyDescent="0.4"/>
    <row r="40" spans="1:1" ht="9.75" customHeight="1" x14ac:dyDescent="0.4"/>
    <row r="41" spans="1:1" ht="9.75" customHeight="1" x14ac:dyDescent="0.4"/>
    <row r="42" spans="1:1" ht="9.75" customHeight="1" x14ac:dyDescent="0.4"/>
    <row r="43" spans="1:1" ht="9.75" customHeight="1" x14ac:dyDescent="0.4"/>
    <row r="44" spans="1:1" ht="9.75" customHeight="1" x14ac:dyDescent="0.4"/>
    <row r="45" spans="1:1" ht="9.75" customHeight="1" x14ac:dyDescent="0.4"/>
    <row r="46" spans="1:1" ht="9.75" customHeight="1" x14ac:dyDescent="0.4"/>
    <row r="47" spans="1:1" ht="9.75" customHeight="1" x14ac:dyDescent="0.4"/>
    <row r="48" spans="1:1" ht="9.75" customHeight="1" x14ac:dyDescent="0.4"/>
    <row r="49" ht="9.75" customHeight="1" x14ac:dyDescent="0.4"/>
    <row r="50" ht="9.75" customHeight="1" x14ac:dyDescent="0.4"/>
    <row r="51" ht="9.75" customHeight="1" x14ac:dyDescent="0.4"/>
    <row r="52" ht="9.75" customHeight="1" x14ac:dyDescent="0.4"/>
    <row r="53" ht="9.75" customHeight="1" x14ac:dyDescent="0.4"/>
    <row r="54" ht="9.75" customHeight="1" x14ac:dyDescent="0.4"/>
    <row r="55" ht="9.75" customHeight="1" x14ac:dyDescent="0.4"/>
    <row r="56" ht="9.75" customHeight="1" x14ac:dyDescent="0.4"/>
    <row r="57" ht="9.75" customHeight="1" x14ac:dyDescent="0.4"/>
    <row r="58" ht="9.75" customHeight="1" x14ac:dyDescent="0.4"/>
    <row r="59" ht="9.75" customHeight="1" x14ac:dyDescent="0.4"/>
    <row r="60" ht="9.75" customHeight="1" x14ac:dyDescent="0.4"/>
    <row r="61" ht="9.75" customHeight="1" x14ac:dyDescent="0.4"/>
    <row r="62" ht="9.75" customHeight="1" x14ac:dyDescent="0.4"/>
    <row r="63" ht="9.75" customHeight="1" x14ac:dyDescent="0.4"/>
    <row r="64" ht="9.75" customHeight="1" x14ac:dyDescent="0.4"/>
    <row r="65" ht="9.75" customHeight="1" x14ac:dyDescent="0.4"/>
    <row r="66" ht="9.75" customHeight="1" x14ac:dyDescent="0.4"/>
    <row r="67" ht="9.75" customHeight="1" x14ac:dyDescent="0.4"/>
    <row r="68" ht="9.75" customHeight="1" x14ac:dyDescent="0.4"/>
    <row r="69" ht="9.75" customHeight="1" x14ac:dyDescent="0.4"/>
    <row r="70" ht="9.75" customHeight="1" x14ac:dyDescent="0.4"/>
    <row r="71" ht="9.75" customHeight="1" x14ac:dyDescent="0.4"/>
    <row r="72" ht="9.75" customHeight="1" x14ac:dyDescent="0.4"/>
    <row r="73" ht="9.75" customHeight="1" x14ac:dyDescent="0.4"/>
    <row r="74" ht="9.75" customHeight="1" x14ac:dyDescent="0.4"/>
    <row r="75" ht="9.75" customHeight="1" x14ac:dyDescent="0.4"/>
    <row r="76" ht="9.75" customHeight="1" x14ac:dyDescent="0.4"/>
    <row r="77" ht="9.75" customHeight="1" x14ac:dyDescent="0.4"/>
    <row r="78" ht="9.75" customHeight="1" x14ac:dyDescent="0.4"/>
  </sheetData>
  <mergeCells count="2">
    <mergeCell ref="A1:K1"/>
    <mergeCell ref="A30:K30"/>
  </mergeCells>
  <printOptions horizontalCentered="1"/>
  <pageMargins left="0.78740157480314998" right="0.78740157480314998" top="0.78740157480315021" bottom="0.78740157480315021" header="0.31496062992126012" footer="0.31496062992126012"/>
  <pageSetup paperSize="0"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9"/>
  <sheetViews>
    <sheetView workbookViewId="0"/>
  </sheetViews>
  <sheetFormatPr baseColWidth="10" defaultColWidth="11.5546875" defaultRowHeight="15" x14ac:dyDescent="0.4"/>
  <cols>
    <col min="1" max="1" width="4.88671875" customWidth="1"/>
    <col min="2" max="11" width="6.6640625" customWidth="1"/>
    <col min="12" max="12" width="8.109375" customWidth="1"/>
    <col min="13" max="21" width="7" customWidth="1"/>
    <col min="22" max="22" width="11.5546875" customWidth="1"/>
  </cols>
  <sheetData>
    <row r="1" spans="1:12" ht="12" customHeight="1" x14ac:dyDescent="0.4">
      <c r="A1" s="64" t="s">
        <v>4</v>
      </c>
      <c r="B1" s="64"/>
      <c r="C1" s="64"/>
      <c r="D1" s="64"/>
      <c r="E1" s="64"/>
      <c r="F1" s="64"/>
      <c r="G1" s="64"/>
      <c r="H1" s="64"/>
      <c r="I1" s="64"/>
      <c r="J1" s="64"/>
      <c r="K1" s="64"/>
    </row>
    <row r="2" spans="1:12" ht="12" customHeight="1" x14ac:dyDescent="0.4">
      <c r="A2" s="41"/>
      <c r="B2" s="41"/>
      <c r="C2" s="42"/>
      <c r="D2" s="42"/>
      <c r="E2" s="42"/>
      <c r="F2" s="42"/>
      <c r="G2" s="42"/>
      <c r="H2" s="42"/>
      <c r="I2" s="42"/>
      <c r="J2" s="42"/>
      <c r="K2" s="42"/>
      <c r="L2" s="12"/>
    </row>
    <row r="3" spans="1:12" ht="25.5" customHeight="1" x14ac:dyDescent="0.4">
      <c r="A3" s="65" t="s">
        <v>39</v>
      </c>
      <c r="B3" s="58" t="s">
        <v>12</v>
      </c>
      <c r="C3" s="14" t="s">
        <v>13</v>
      </c>
      <c r="D3" s="15" t="s">
        <v>14</v>
      </c>
      <c r="E3" s="14" t="s">
        <v>15</v>
      </c>
      <c r="F3" s="14" t="s">
        <v>16</v>
      </c>
      <c r="G3" s="15" t="s">
        <v>17</v>
      </c>
      <c r="H3" s="14" t="s">
        <v>18</v>
      </c>
      <c r="I3" s="15" t="s">
        <v>19</v>
      </c>
      <c r="J3" s="14" t="s">
        <v>20</v>
      </c>
      <c r="K3" s="16" t="s">
        <v>21</v>
      </c>
    </row>
    <row r="4" spans="1:12" ht="12.75" customHeight="1" x14ac:dyDescent="0.4">
      <c r="A4" s="65"/>
      <c r="B4" s="66">
        <v>1000</v>
      </c>
      <c r="C4" s="66"/>
      <c r="D4" s="66"/>
      <c r="E4" s="66"/>
      <c r="F4" s="66"/>
      <c r="G4" s="66"/>
      <c r="H4" s="66"/>
      <c r="I4" s="66"/>
      <c r="J4" s="66"/>
      <c r="K4" s="66"/>
    </row>
    <row r="5" spans="1:12" ht="15" customHeight="1" x14ac:dyDescent="0.4">
      <c r="A5" s="44">
        <v>1975</v>
      </c>
      <c r="B5" s="59">
        <v>20813439</v>
      </c>
      <c r="C5" s="59">
        <v>612648</v>
      </c>
      <c r="D5" s="59">
        <v>1244730</v>
      </c>
      <c r="E5" s="59">
        <v>3194377</v>
      </c>
      <c r="F5" s="59">
        <v>2646972</v>
      </c>
      <c r="G5" s="59">
        <v>1365138</v>
      </c>
      <c r="H5" s="59">
        <v>2412985</v>
      </c>
      <c r="I5" s="59">
        <v>1681272</v>
      </c>
      <c r="J5" s="59">
        <v>454036</v>
      </c>
      <c r="K5" s="59">
        <v>7201281</v>
      </c>
      <c r="L5" s="60"/>
    </row>
    <row r="6" spans="1:12" ht="9.75" customHeight="1" x14ac:dyDescent="0.4">
      <c r="A6" s="44">
        <v>1980</v>
      </c>
      <c r="B6" s="59">
        <v>17533899</v>
      </c>
      <c r="C6" s="59">
        <v>435423</v>
      </c>
      <c r="D6" s="59">
        <v>1021946</v>
      </c>
      <c r="E6" s="59">
        <v>2310608</v>
      </c>
      <c r="F6" s="59">
        <v>2432015</v>
      </c>
      <c r="G6" s="59">
        <v>1059825</v>
      </c>
      <c r="H6" s="59">
        <v>2103563</v>
      </c>
      <c r="I6" s="59">
        <v>1543016</v>
      </c>
      <c r="J6" s="59">
        <v>583071</v>
      </c>
      <c r="K6" s="59">
        <v>6044432</v>
      </c>
    </row>
    <row r="7" spans="1:12" ht="9.75" customHeight="1" x14ac:dyDescent="0.4">
      <c r="A7" s="44">
        <v>1985</v>
      </c>
      <c r="B7" s="59">
        <v>13134533</v>
      </c>
      <c r="C7" s="59">
        <v>243580</v>
      </c>
      <c r="D7" s="59">
        <v>666610</v>
      </c>
      <c r="E7" s="59">
        <v>1713762</v>
      </c>
      <c r="F7" s="59">
        <v>1678975</v>
      </c>
      <c r="G7" s="59">
        <v>865275</v>
      </c>
      <c r="H7" s="59">
        <v>1073541</v>
      </c>
      <c r="I7" s="59">
        <v>1147734</v>
      </c>
      <c r="J7" s="59">
        <v>450000</v>
      </c>
      <c r="K7" s="59">
        <v>5295056</v>
      </c>
    </row>
    <row r="8" spans="1:12" ht="9.75" customHeight="1" x14ac:dyDescent="0.4">
      <c r="A8" s="44">
        <v>1990</v>
      </c>
      <c r="B8" s="59">
        <v>10149373</v>
      </c>
      <c r="C8" s="59">
        <v>154864</v>
      </c>
      <c r="D8" s="59">
        <v>544943</v>
      </c>
      <c r="E8" s="59">
        <v>1050042</v>
      </c>
      <c r="F8" s="59">
        <v>1269420</v>
      </c>
      <c r="G8" s="59">
        <v>704673</v>
      </c>
      <c r="H8" s="59">
        <v>1024752</v>
      </c>
      <c r="I8" s="59">
        <v>819839</v>
      </c>
      <c r="J8" s="59">
        <v>330110</v>
      </c>
      <c r="K8" s="59">
        <v>4250730</v>
      </c>
    </row>
    <row r="9" spans="1:12" ht="9.75" customHeight="1" x14ac:dyDescent="0.4">
      <c r="A9" s="44">
        <v>1995</v>
      </c>
      <c r="B9" s="59">
        <v>11922939</v>
      </c>
      <c r="C9" s="59">
        <v>225336</v>
      </c>
      <c r="D9" s="59">
        <v>539589</v>
      </c>
      <c r="E9" s="59">
        <v>2018631</v>
      </c>
      <c r="F9" s="59">
        <v>1468975</v>
      </c>
      <c r="G9" s="59">
        <v>744250</v>
      </c>
      <c r="H9" s="59">
        <v>1261519</v>
      </c>
      <c r="I9" s="59">
        <v>938261</v>
      </c>
      <c r="J9" s="59">
        <v>348839</v>
      </c>
      <c r="K9" s="59">
        <v>4377539</v>
      </c>
      <c r="L9" s="61"/>
    </row>
    <row r="10" spans="1:12" ht="9.75" customHeight="1" x14ac:dyDescent="0.4">
      <c r="A10" s="44">
        <v>2000</v>
      </c>
      <c r="B10" s="59">
        <v>16005793</v>
      </c>
      <c r="C10" s="59">
        <v>232294</v>
      </c>
      <c r="D10" s="59">
        <v>801451</v>
      </c>
      <c r="E10" s="59">
        <v>2571260</v>
      </c>
      <c r="F10" s="59">
        <v>2344280</v>
      </c>
      <c r="G10" s="59">
        <v>1127468</v>
      </c>
      <c r="H10" s="59">
        <v>2092872</v>
      </c>
      <c r="I10" s="59">
        <v>1205540</v>
      </c>
      <c r="J10" s="59">
        <v>858190</v>
      </c>
      <c r="K10" s="59">
        <v>4772438</v>
      </c>
    </row>
    <row r="11" spans="1:12" ht="9.75" customHeight="1" x14ac:dyDescent="0.4">
      <c r="A11" s="44">
        <v>2001</v>
      </c>
      <c r="B11" s="59">
        <v>18832687</v>
      </c>
      <c r="C11" s="59">
        <v>307586</v>
      </c>
      <c r="D11" s="59">
        <v>896578</v>
      </c>
      <c r="E11" s="59">
        <v>2782223</v>
      </c>
      <c r="F11" s="59">
        <v>2698585</v>
      </c>
      <c r="G11" s="59">
        <v>1377132</v>
      </c>
      <c r="H11" s="59">
        <v>2510757</v>
      </c>
      <c r="I11" s="59">
        <v>1422052</v>
      </c>
      <c r="J11" s="59">
        <v>1000188</v>
      </c>
      <c r="K11" s="59">
        <v>5837586</v>
      </c>
    </row>
    <row r="12" spans="1:12" ht="9.75" customHeight="1" x14ac:dyDescent="0.4">
      <c r="A12" s="44">
        <v>2002</v>
      </c>
      <c r="B12" s="59">
        <v>19316023</v>
      </c>
      <c r="C12" s="59">
        <v>254067</v>
      </c>
      <c r="D12" s="59">
        <v>1069020</v>
      </c>
      <c r="E12" s="59">
        <v>2628190</v>
      </c>
      <c r="F12" s="59">
        <v>2741725</v>
      </c>
      <c r="G12" s="59">
        <v>1321608</v>
      </c>
      <c r="H12" s="59">
        <v>2502022</v>
      </c>
      <c r="I12" s="59">
        <v>1393957</v>
      </c>
      <c r="J12" s="59">
        <v>1058057</v>
      </c>
      <c r="K12" s="59">
        <v>6347377</v>
      </c>
    </row>
    <row r="13" spans="1:12" ht="9.75" customHeight="1" x14ac:dyDescent="0.4">
      <c r="A13" s="44">
        <v>2003</v>
      </c>
      <c r="B13" s="59">
        <v>17719542</v>
      </c>
      <c r="C13" s="59">
        <v>219366</v>
      </c>
      <c r="D13" s="59">
        <v>929524</v>
      </c>
      <c r="E13" s="59">
        <v>2293631</v>
      </c>
      <c r="F13" s="59">
        <v>2449895</v>
      </c>
      <c r="G13" s="59">
        <v>1195933</v>
      </c>
      <c r="H13" s="59">
        <v>2270282</v>
      </c>
      <c r="I13" s="59">
        <v>1275636</v>
      </c>
      <c r="J13" s="59">
        <v>1004547</v>
      </c>
      <c r="K13" s="59">
        <v>6080728</v>
      </c>
    </row>
    <row r="14" spans="1:12" ht="9.75" customHeight="1" x14ac:dyDescent="0.4">
      <c r="A14" s="44">
        <v>2004</v>
      </c>
      <c r="B14" s="59">
        <v>19376843</v>
      </c>
      <c r="C14" s="59">
        <v>234445</v>
      </c>
      <c r="D14" s="59">
        <v>1049638</v>
      </c>
      <c r="E14" s="59">
        <v>2412947</v>
      </c>
      <c r="F14" s="59">
        <v>2762095</v>
      </c>
      <c r="G14" s="59">
        <v>1360279</v>
      </c>
      <c r="H14" s="59">
        <v>2502228</v>
      </c>
      <c r="I14" s="59">
        <v>1379654</v>
      </c>
      <c r="J14" s="59">
        <v>1136649</v>
      </c>
      <c r="K14" s="59">
        <v>6538908</v>
      </c>
    </row>
    <row r="15" spans="1:12" ht="9.75" customHeight="1" x14ac:dyDescent="0.4">
      <c r="A15" s="44">
        <v>2005</v>
      </c>
      <c r="B15" s="59">
        <v>15719636</v>
      </c>
      <c r="C15" s="59">
        <v>167346</v>
      </c>
      <c r="D15" s="59">
        <v>828347</v>
      </c>
      <c r="E15" s="59">
        <v>1872182</v>
      </c>
      <c r="F15" s="59">
        <v>2359879</v>
      </c>
      <c r="G15" s="59">
        <v>1028437</v>
      </c>
      <c r="H15" s="59">
        <v>1966882</v>
      </c>
      <c r="I15" s="59">
        <v>1211308</v>
      </c>
      <c r="J15" s="59">
        <v>813673</v>
      </c>
      <c r="K15" s="59">
        <v>5471582</v>
      </c>
    </row>
    <row r="16" spans="1:12" ht="9.75" customHeight="1" x14ac:dyDescent="0.4">
      <c r="A16" s="44">
        <v>2006</v>
      </c>
      <c r="B16" s="59">
        <v>17272546</v>
      </c>
      <c r="C16" s="59">
        <v>204714</v>
      </c>
      <c r="D16" s="59">
        <v>953516</v>
      </c>
      <c r="E16" s="59">
        <v>2218602</v>
      </c>
      <c r="F16" s="59">
        <v>2617263</v>
      </c>
      <c r="G16" s="59">
        <v>1183864</v>
      </c>
      <c r="H16" s="59">
        <v>2224273</v>
      </c>
      <c r="I16" s="59">
        <v>1323098</v>
      </c>
      <c r="J16" s="59">
        <v>917395</v>
      </c>
      <c r="K16" s="59">
        <v>5629821</v>
      </c>
    </row>
    <row r="17" spans="1:12" ht="9.75" customHeight="1" x14ac:dyDescent="0.4">
      <c r="A17" s="44">
        <v>2007</v>
      </c>
      <c r="B17" s="59">
        <v>15689536</v>
      </c>
      <c r="C17" s="59">
        <v>180475</v>
      </c>
      <c r="D17" s="59">
        <v>839447</v>
      </c>
      <c r="E17" s="59">
        <v>2126589</v>
      </c>
      <c r="F17" s="59">
        <v>2473527</v>
      </c>
      <c r="G17" s="59">
        <v>1076722</v>
      </c>
      <c r="H17" s="59">
        <v>2004463</v>
      </c>
      <c r="I17" s="59">
        <v>1176623</v>
      </c>
      <c r="J17" s="59">
        <v>810978</v>
      </c>
      <c r="K17" s="59">
        <v>5000712</v>
      </c>
    </row>
    <row r="18" spans="1:12" ht="9.75" customHeight="1" x14ac:dyDescent="0.4">
      <c r="A18" s="44">
        <v>2008</v>
      </c>
      <c r="B18" s="59">
        <v>15628774</v>
      </c>
      <c r="C18" s="59">
        <v>177427</v>
      </c>
      <c r="D18" s="59">
        <v>800787</v>
      </c>
      <c r="E18" s="59">
        <v>2120406</v>
      </c>
      <c r="F18" s="59">
        <v>2461656</v>
      </c>
      <c r="G18" s="59">
        <v>1072750</v>
      </c>
      <c r="H18" s="59">
        <v>1941700</v>
      </c>
      <c r="I18" s="59">
        <v>1171351</v>
      </c>
      <c r="J18" s="59">
        <v>827756</v>
      </c>
      <c r="K18" s="59">
        <v>5054941</v>
      </c>
    </row>
    <row r="19" spans="1:12" ht="9.75" customHeight="1" x14ac:dyDescent="0.4">
      <c r="A19" s="50">
        <v>2009</v>
      </c>
      <c r="B19" s="62">
        <v>18423828</v>
      </c>
      <c r="C19" s="62">
        <v>311060</v>
      </c>
      <c r="D19" s="62">
        <v>978305</v>
      </c>
      <c r="E19" s="62">
        <v>2600446</v>
      </c>
      <c r="F19" s="62">
        <v>2876232</v>
      </c>
      <c r="G19" s="62">
        <v>1269494</v>
      </c>
      <c r="H19" s="62">
        <v>2447436</v>
      </c>
      <c r="I19" s="62">
        <v>1368612</v>
      </c>
      <c r="J19" s="62">
        <v>967478</v>
      </c>
      <c r="K19" s="62">
        <v>5604765</v>
      </c>
    </row>
    <row r="20" spans="1:12" ht="9.75" customHeight="1" x14ac:dyDescent="0.4">
      <c r="A20" s="50">
        <v>2010</v>
      </c>
      <c r="B20" s="62">
        <v>17322706</v>
      </c>
      <c r="C20" s="62">
        <v>348555</v>
      </c>
      <c r="D20" s="62">
        <v>863039</v>
      </c>
      <c r="E20" s="62">
        <v>2418225</v>
      </c>
      <c r="F20" s="62">
        <v>2670323</v>
      </c>
      <c r="G20" s="62">
        <v>1195856</v>
      </c>
      <c r="H20" s="62">
        <v>2157225</v>
      </c>
      <c r="I20" s="62">
        <v>1312367</v>
      </c>
      <c r="J20" s="62">
        <v>912591</v>
      </c>
      <c r="K20" s="62">
        <v>5444525</v>
      </c>
    </row>
    <row r="21" spans="1:12" ht="9.75" customHeight="1" x14ac:dyDescent="0.4">
      <c r="A21" s="50">
        <v>2011</v>
      </c>
      <c r="B21" s="62">
        <v>16780130</v>
      </c>
      <c r="C21" s="62">
        <v>367787</v>
      </c>
      <c r="D21" s="62">
        <v>851799</v>
      </c>
      <c r="E21" s="62">
        <v>2309505</v>
      </c>
      <c r="F21" s="62">
        <v>2675325</v>
      </c>
      <c r="G21" s="62">
        <v>1141284</v>
      </c>
      <c r="H21" s="62">
        <v>2120415</v>
      </c>
      <c r="I21" s="62">
        <v>1351400</v>
      </c>
      <c r="J21" s="62">
        <v>903477</v>
      </c>
      <c r="K21" s="62">
        <v>5059138</v>
      </c>
    </row>
    <row r="22" spans="1:12" ht="9.75" customHeight="1" x14ac:dyDescent="0.4">
      <c r="A22" s="50">
        <v>2012</v>
      </c>
      <c r="B22" s="62">
        <v>16738141</v>
      </c>
      <c r="C22" s="62">
        <v>345782</v>
      </c>
      <c r="D22" s="62">
        <v>846156</v>
      </c>
      <c r="E22" s="62">
        <v>2231182</v>
      </c>
      <c r="F22" s="62">
        <v>2696091</v>
      </c>
      <c r="G22" s="62">
        <v>1067750</v>
      </c>
      <c r="H22" s="62">
        <v>2186747</v>
      </c>
      <c r="I22" s="62">
        <v>1393319</v>
      </c>
      <c r="J22" s="62">
        <v>951363</v>
      </c>
      <c r="K22" s="62">
        <v>5019751</v>
      </c>
    </row>
    <row r="23" spans="1:12" ht="9.75" customHeight="1" x14ac:dyDescent="0.4">
      <c r="A23" s="50">
        <v>2013</v>
      </c>
      <c r="B23" s="62">
        <v>15839504</v>
      </c>
      <c r="C23" s="62">
        <v>322902</v>
      </c>
      <c r="D23" s="62">
        <v>760608</v>
      </c>
      <c r="E23" s="62">
        <v>2056166</v>
      </c>
      <c r="F23" s="62">
        <v>2582199</v>
      </c>
      <c r="G23" s="62">
        <v>991961</v>
      </c>
      <c r="H23" s="62">
        <v>2045673</v>
      </c>
      <c r="I23" s="62">
        <v>1283131</v>
      </c>
      <c r="J23" s="62">
        <v>903193</v>
      </c>
      <c r="K23" s="62">
        <v>4893671</v>
      </c>
      <c r="L23" s="63"/>
    </row>
    <row r="24" spans="1:12" ht="9.75" customHeight="1" x14ac:dyDescent="0.4">
      <c r="A24" s="50">
        <v>2014</v>
      </c>
      <c r="B24" s="62">
        <v>15075317</v>
      </c>
      <c r="C24" s="62">
        <v>293498</v>
      </c>
      <c r="D24" s="62">
        <v>720435</v>
      </c>
      <c r="E24" s="62">
        <v>1951163</v>
      </c>
      <c r="F24" s="62">
        <v>2517839</v>
      </c>
      <c r="G24" s="62">
        <v>927054</v>
      </c>
      <c r="H24" s="62">
        <v>1894619</v>
      </c>
      <c r="I24" s="62">
        <v>1238274</v>
      </c>
      <c r="J24" s="62">
        <v>872277</v>
      </c>
      <c r="K24" s="62">
        <v>4660158</v>
      </c>
      <c r="L24" s="63"/>
    </row>
    <row r="25" spans="1:12" ht="9.75" customHeight="1" x14ac:dyDescent="0.4">
      <c r="A25" s="50">
        <v>2015</v>
      </c>
      <c r="B25" s="62">
        <v>16653123</v>
      </c>
      <c r="C25" s="62">
        <v>349998</v>
      </c>
      <c r="D25" s="62">
        <v>819838</v>
      </c>
      <c r="E25" s="62">
        <v>2225132</v>
      </c>
      <c r="F25" s="62">
        <v>2635186</v>
      </c>
      <c r="G25" s="62">
        <v>1104958</v>
      </c>
      <c r="H25" s="62">
        <v>2108408</v>
      </c>
      <c r="I25" s="62">
        <v>1346159</v>
      </c>
      <c r="J25" s="62">
        <v>999516</v>
      </c>
      <c r="K25" s="62">
        <v>5063928</v>
      </c>
      <c r="L25" s="63"/>
    </row>
    <row r="26" spans="1:12" ht="9.75" customHeight="1" x14ac:dyDescent="0.4">
      <c r="A26" s="50">
        <v>2016</v>
      </c>
      <c r="B26" s="62">
        <v>15602006</v>
      </c>
      <c r="C26" s="62">
        <v>326424</v>
      </c>
      <c r="D26" s="62">
        <v>750281</v>
      </c>
      <c r="E26" s="62">
        <v>2050945</v>
      </c>
      <c r="F26" s="62">
        <v>2562993</v>
      </c>
      <c r="G26" s="62">
        <v>1028122</v>
      </c>
      <c r="H26" s="62">
        <v>1922036</v>
      </c>
      <c r="I26" s="62">
        <v>1222960</v>
      </c>
      <c r="J26" s="62">
        <v>930111</v>
      </c>
      <c r="K26" s="62">
        <v>4808134</v>
      </c>
      <c r="L26" s="63"/>
    </row>
    <row r="27" spans="1:12" ht="9.75" customHeight="1" x14ac:dyDescent="0.4">
      <c r="A27" s="50">
        <v>2017</v>
      </c>
      <c r="B27" s="62">
        <v>15298471</v>
      </c>
      <c r="C27" s="62">
        <v>322887</v>
      </c>
      <c r="D27" s="62">
        <v>736956</v>
      </c>
      <c r="E27" s="62">
        <v>2036625</v>
      </c>
      <c r="F27" s="62">
        <v>2470564</v>
      </c>
      <c r="G27" s="62">
        <v>1027297</v>
      </c>
      <c r="H27" s="62">
        <v>1891254</v>
      </c>
      <c r="I27" s="62">
        <v>1212323</v>
      </c>
      <c r="J27" s="62">
        <v>913233</v>
      </c>
      <c r="K27" s="62">
        <v>4687332</v>
      </c>
      <c r="L27" s="63"/>
    </row>
    <row r="28" spans="1:12" ht="9.75" customHeight="1" x14ac:dyDescent="0.4">
      <c r="A28" s="50">
        <v>2018</v>
      </c>
      <c r="B28" s="62">
        <v>13735758</v>
      </c>
      <c r="C28" s="62">
        <v>374673</v>
      </c>
      <c r="D28" s="62">
        <v>652463</v>
      </c>
      <c r="E28" s="62">
        <v>1801961</v>
      </c>
      <c r="F28" s="62">
        <v>2292426</v>
      </c>
      <c r="G28" s="62">
        <v>860127</v>
      </c>
      <c r="H28" s="62">
        <v>1731927</v>
      </c>
      <c r="I28" s="62">
        <v>1062141</v>
      </c>
      <c r="J28" s="62">
        <v>789137</v>
      </c>
      <c r="K28" s="62">
        <v>4170903</v>
      </c>
      <c r="L28" s="63"/>
    </row>
    <row r="29" spans="1:12" ht="9.75" customHeight="1" x14ac:dyDescent="0.4">
      <c r="A29" s="50">
        <v>2019</v>
      </c>
      <c r="B29" s="62">
        <f>SUM(C29:K29)</f>
        <v>14533441</v>
      </c>
      <c r="C29" s="62">
        <v>411898</v>
      </c>
      <c r="D29" s="62">
        <v>701372</v>
      </c>
      <c r="E29" s="62">
        <v>1972057</v>
      </c>
      <c r="F29" s="62">
        <v>2394353</v>
      </c>
      <c r="G29" s="62">
        <v>925373</v>
      </c>
      <c r="H29" s="62">
        <v>1854316</v>
      </c>
      <c r="I29" s="62">
        <v>1165433</v>
      </c>
      <c r="J29" s="62">
        <v>852124</v>
      </c>
      <c r="K29" s="62">
        <v>4256515</v>
      </c>
      <c r="L29" s="63"/>
    </row>
    <row r="30" spans="1:12" ht="9.75" customHeight="1" x14ac:dyDescent="0.4"/>
    <row r="31" spans="1:12" ht="19.5" customHeight="1" x14ac:dyDescent="0.4">
      <c r="A31" s="55" t="s">
        <v>41</v>
      </c>
      <c r="B31" s="55"/>
      <c r="C31" s="55"/>
      <c r="D31" s="55"/>
      <c r="E31" s="55"/>
      <c r="F31" s="55"/>
      <c r="G31" s="55"/>
      <c r="H31" s="55"/>
      <c r="I31" s="55"/>
      <c r="J31" s="55"/>
      <c r="K31" s="55"/>
    </row>
    <row r="32" spans="1:12" ht="9.75" customHeight="1" x14ac:dyDescent="0.4"/>
    <row r="33" ht="9.75" customHeight="1" x14ac:dyDescent="0.4"/>
    <row r="34" ht="9.75" customHeight="1" x14ac:dyDescent="0.4"/>
    <row r="35" ht="9.75" customHeight="1" x14ac:dyDescent="0.4"/>
    <row r="36" ht="9.75" customHeight="1" x14ac:dyDescent="0.4"/>
    <row r="37" ht="9.75" customHeight="1" x14ac:dyDescent="0.4"/>
    <row r="38" ht="9.75" customHeight="1" x14ac:dyDescent="0.4"/>
    <row r="39" ht="9.75" customHeight="1" x14ac:dyDescent="0.4"/>
    <row r="40" ht="9.75" customHeight="1" x14ac:dyDescent="0.4"/>
    <row r="41" ht="9.75" customHeight="1" x14ac:dyDescent="0.4"/>
    <row r="42" ht="9.75" customHeight="1" x14ac:dyDescent="0.4"/>
    <row r="43" ht="9.75" customHeight="1" x14ac:dyDescent="0.4"/>
    <row r="44" ht="9.75" customHeight="1" x14ac:dyDescent="0.4"/>
    <row r="45" ht="9.75" customHeight="1" x14ac:dyDescent="0.4"/>
    <row r="46" ht="9.75" customHeight="1" x14ac:dyDescent="0.4"/>
    <row r="47" ht="9.75" customHeight="1" x14ac:dyDescent="0.4"/>
    <row r="48" ht="9.75" customHeight="1" x14ac:dyDescent="0.4"/>
    <row r="49" ht="9.75" customHeight="1" x14ac:dyDescent="0.4"/>
    <row r="50" ht="9.75" customHeight="1" x14ac:dyDescent="0.4"/>
    <row r="51" ht="9.75" customHeight="1" x14ac:dyDescent="0.4"/>
    <row r="52" ht="9.75" customHeight="1" x14ac:dyDescent="0.4"/>
    <row r="53" ht="9.75" customHeight="1" x14ac:dyDescent="0.4"/>
    <row r="54" ht="9.75" customHeight="1" x14ac:dyDescent="0.4"/>
    <row r="55" ht="9.75" customHeight="1" x14ac:dyDescent="0.4"/>
    <row r="56" ht="9.75" customHeight="1" x14ac:dyDescent="0.4"/>
    <row r="57" ht="9.75" customHeight="1" x14ac:dyDescent="0.4"/>
    <row r="58" ht="9.75" customHeight="1" x14ac:dyDescent="0.4"/>
    <row r="59" ht="9.75" customHeight="1" x14ac:dyDescent="0.4"/>
    <row r="60" ht="9.75" customHeight="1" x14ac:dyDescent="0.4"/>
    <row r="61" ht="9.75" customHeight="1" x14ac:dyDescent="0.4"/>
    <row r="62" ht="9.75" customHeight="1" x14ac:dyDescent="0.4"/>
    <row r="63" ht="9.75" customHeight="1" x14ac:dyDescent="0.4"/>
    <row r="64" ht="9.75" customHeight="1" x14ac:dyDescent="0.4"/>
    <row r="65" ht="9.75" customHeight="1" x14ac:dyDescent="0.4"/>
    <row r="66" ht="9.75" customHeight="1" x14ac:dyDescent="0.4"/>
    <row r="67" ht="9.75" customHeight="1" x14ac:dyDescent="0.4"/>
    <row r="68" ht="9.75" customHeight="1" x14ac:dyDescent="0.4"/>
    <row r="69" ht="9.75" customHeight="1" x14ac:dyDescent="0.4"/>
    <row r="70" ht="9.75" customHeight="1" x14ac:dyDescent="0.4"/>
    <row r="71" ht="9.75" customHeight="1" x14ac:dyDescent="0.4"/>
    <row r="72" ht="9.75" customHeight="1" x14ac:dyDescent="0.4"/>
    <row r="73" ht="9.75" customHeight="1" x14ac:dyDescent="0.4"/>
    <row r="74" ht="9.75" customHeight="1" x14ac:dyDescent="0.4"/>
    <row r="75" ht="9.75" customHeight="1" x14ac:dyDescent="0.4"/>
    <row r="76" ht="9.75" customHeight="1" x14ac:dyDescent="0.4"/>
    <row r="77" ht="9.75" customHeight="1" x14ac:dyDescent="0.4"/>
    <row r="78" ht="9.75" customHeight="1" x14ac:dyDescent="0.4"/>
    <row r="79" ht="9.75" customHeight="1" x14ac:dyDescent="0.4"/>
  </sheetData>
  <mergeCells count="4">
    <mergeCell ref="A1:K1"/>
    <mergeCell ref="A3:A4"/>
    <mergeCell ref="B4:K4"/>
    <mergeCell ref="A31:K31"/>
  </mergeCells>
  <printOptions horizontalCentered="1"/>
  <pageMargins left="0.78740157480314998" right="0.78740157480314998" top="0.78740157480315021" bottom="0.78740157480315021" header="0.31496062992126012" footer="0.31496062992126012"/>
  <pageSetup paperSize="0"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8"/>
  <sheetViews>
    <sheetView workbookViewId="0"/>
  </sheetViews>
  <sheetFormatPr baseColWidth="10" defaultColWidth="11.5546875" defaultRowHeight="15" x14ac:dyDescent="0.4"/>
  <cols>
    <col min="1" max="1" width="4.88671875" customWidth="1"/>
    <col min="2" max="2" width="4.44140625" bestFit="1" customWidth="1"/>
    <col min="3" max="11" width="6.6640625" customWidth="1"/>
    <col min="12" max="20" width="7" customWidth="1"/>
    <col min="21" max="21" width="11.5546875" customWidth="1"/>
  </cols>
  <sheetData>
    <row r="1" spans="1:19" ht="12" customHeight="1" x14ac:dyDescent="0.4">
      <c r="A1" s="64" t="s">
        <v>5</v>
      </c>
      <c r="B1" s="64"/>
      <c r="C1" s="64"/>
      <c r="D1" s="64"/>
      <c r="E1" s="64"/>
      <c r="F1" s="64"/>
      <c r="G1" s="64"/>
      <c r="H1" s="64"/>
      <c r="I1" s="64"/>
      <c r="J1" s="64"/>
      <c r="K1" s="64"/>
    </row>
    <row r="2" spans="1:19" ht="12" customHeight="1" x14ac:dyDescent="0.4">
      <c r="A2" s="41"/>
      <c r="B2" s="41"/>
      <c r="C2" s="42"/>
      <c r="D2" s="42"/>
      <c r="E2" s="42"/>
      <c r="F2" s="42"/>
      <c r="G2" s="42"/>
      <c r="H2" s="42"/>
      <c r="I2" s="42"/>
      <c r="J2" s="42"/>
      <c r="K2" s="42"/>
    </row>
    <row r="3" spans="1:19" ht="25.5" customHeight="1" x14ac:dyDescent="0.4">
      <c r="A3" s="65" t="s">
        <v>42</v>
      </c>
      <c r="B3" s="58" t="s">
        <v>12</v>
      </c>
      <c r="C3" s="14" t="s">
        <v>13</v>
      </c>
      <c r="D3" s="15" t="s">
        <v>14</v>
      </c>
      <c r="E3" s="14" t="s">
        <v>15</v>
      </c>
      <c r="F3" s="14" t="s">
        <v>16</v>
      </c>
      <c r="G3" s="15" t="s">
        <v>17</v>
      </c>
      <c r="H3" s="14" t="s">
        <v>18</v>
      </c>
      <c r="I3" s="15" t="s">
        <v>19</v>
      </c>
      <c r="J3" s="14" t="s">
        <v>20</v>
      </c>
      <c r="K3" s="16" t="s">
        <v>21</v>
      </c>
    </row>
    <row r="4" spans="1:19" ht="12.75" customHeight="1" x14ac:dyDescent="0.4">
      <c r="A4" s="65"/>
      <c r="B4" s="75" t="s">
        <v>43</v>
      </c>
      <c r="C4" s="75"/>
      <c r="D4" s="75"/>
      <c r="E4" s="75"/>
      <c r="F4" s="75"/>
      <c r="G4" s="75"/>
      <c r="H4" s="75"/>
      <c r="I4" s="75"/>
      <c r="J4" s="75"/>
      <c r="K4" s="75"/>
    </row>
    <row r="5" spans="1:19" ht="15" customHeight="1" x14ac:dyDescent="0.4">
      <c r="A5" s="44">
        <v>1985</v>
      </c>
      <c r="B5" s="24">
        <v>54087.04752076626</v>
      </c>
      <c r="C5" s="27">
        <v>833.0486980661758</v>
      </c>
      <c r="D5" s="27">
        <v>2295.5894856943523</v>
      </c>
      <c r="E5" s="27">
        <v>6003.2121392702193</v>
      </c>
      <c r="F5" s="27">
        <v>6749.7074918424742</v>
      </c>
      <c r="G5" s="27">
        <v>3675.3559152053367</v>
      </c>
      <c r="H5" s="27">
        <v>5697.1868345893618</v>
      </c>
      <c r="I5" s="27">
        <v>5026.925285059192</v>
      </c>
      <c r="J5" s="27">
        <v>1911.2955386147103</v>
      </c>
      <c r="K5" s="27">
        <v>21894.726132424435</v>
      </c>
      <c r="L5" s="27"/>
      <c r="M5" s="67"/>
      <c r="N5" s="68"/>
      <c r="O5" s="68"/>
      <c r="P5" s="68"/>
      <c r="Q5" s="68"/>
      <c r="R5" s="68"/>
      <c r="S5" s="68"/>
    </row>
    <row r="6" spans="1:19" ht="9.75" customHeight="1" x14ac:dyDescent="0.4">
      <c r="A6" s="44">
        <v>1990</v>
      </c>
      <c r="B6" s="24">
        <v>42912.145810774469</v>
      </c>
      <c r="C6" s="27">
        <v>582.25474735289197</v>
      </c>
      <c r="D6" s="27">
        <v>2140.5783304143079</v>
      </c>
      <c r="E6" s="27">
        <v>4146.4938991155714</v>
      </c>
      <c r="F6" s="27">
        <v>5160.6432999280532</v>
      </c>
      <c r="G6" s="27">
        <v>2895.2130404133627</v>
      </c>
      <c r="H6" s="27">
        <v>4248.8172496239176</v>
      </c>
      <c r="I6" s="27">
        <v>3799.4084431298734</v>
      </c>
      <c r="J6" s="27">
        <v>1373.6619114408843</v>
      </c>
      <c r="K6" s="27">
        <v>18565.074889355608</v>
      </c>
      <c r="L6" s="27"/>
      <c r="M6" s="67"/>
    </row>
    <row r="7" spans="1:19" ht="9.75" customHeight="1" x14ac:dyDescent="0.4">
      <c r="A7" s="44">
        <v>1995</v>
      </c>
      <c r="B7" s="24">
        <v>61513.847808550679</v>
      </c>
      <c r="C7" s="24">
        <v>1161.2392171682302</v>
      </c>
      <c r="D7" s="24">
        <v>2544.1305785484328</v>
      </c>
      <c r="E7" s="24">
        <v>10708.269441799961</v>
      </c>
      <c r="F7" s="24">
        <v>7171.9366583577385</v>
      </c>
      <c r="G7" s="24">
        <v>3809.9460040842132</v>
      </c>
      <c r="H7" s="24">
        <v>6173.9932995646896</v>
      </c>
      <c r="I7" s="24">
        <v>5003.1612682863015</v>
      </c>
      <c r="J7" s="24">
        <v>1899.013829640342</v>
      </c>
      <c r="K7" s="24">
        <v>23042.230183934942</v>
      </c>
      <c r="L7" s="69"/>
    </row>
    <row r="8" spans="1:19" ht="9.75" customHeight="1" x14ac:dyDescent="0.4">
      <c r="A8" s="44">
        <v>2000</v>
      </c>
      <c r="B8" s="24">
        <v>93237.865453514809</v>
      </c>
      <c r="C8" s="24">
        <v>1365.3772083457482</v>
      </c>
      <c r="D8" s="24">
        <v>4407.6800651148587</v>
      </c>
      <c r="E8" s="24">
        <v>17163.143245423427</v>
      </c>
      <c r="F8" s="24">
        <v>12701.903301526856</v>
      </c>
      <c r="G8" s="24">
        <v>6566.2812584027961</v>
      </c>
      <c r="H8" s="24">
        <v>11258.475469284826</v>
      </c>
      <c r="I8" s="24">
        <v>6833.0632326330087</v>
      </c>
      <c r="J8" s="24">
        <v>5255.0453115121036</v>
      </c>
      <c r="K8" s="24">
        <v>27686.896361271192</v>
      </c>
    </row>
    <row r="9" spans="1:19" ht="9.75" customHeight="1" x14ac:dyDescent="0.4">
      <c r="A9" s="44">
        <v>2001</v>
      </c>
      <c r="B9" s="24">
        <v>108631.12244000001</v>
      </c>
      <c r="C9" s="24">
        <v>1878.2488599999999</v>
      </c>
      <c r="D9" s="24">
        <v>5021.7324600000002</v>
      </c>
      <c r="E9" s="24">
        <v>16345.293519999999</v>
      </c>
      <c r="F9" s="24">
        <v>15046.187529999999</v>
      </c>
      <c r="G9" s="24">
        <v>8202.0810999999994</v>
      </c>
      <c r="H9" s="24">
        <v>13827.97251</v>
      </c>
      <c r="I9" s="24">
        <v>8233.2993499999993</v>
      </c>
      <c r="J9" s="24">
        <v>6488.0582299999996</v>
      </c>
      <c r="K9" s="24">
        <v>33588.248879999999</v>
      </c>
    </row>
    <row r="10" spans="1:19" ht="9.75" customHeight="1" x14ac:dyDescent="0.4">
      <c r="A10" s="44">
        <v>2002</v>
      </c>
      <c r="B10" s="24">
        <v>114502.22704</v>
      </c>
      <c r="C10" s="24">
        <v>1628.3588299999999</v>
      </c>
      <c r="D10" s="24">
        <v>6537.4748399999999</v>
      </c>
      <c r="E10" s="24">
        <v>15734.176030000001</v>
      </c>
      <c r="F10" s="24">
        <v>14746.7364</v>
      </c>
      <c r="G10" s="24">
        <v>8144.4012599999996</v>
      </c>
      <c r="H10" s="24">
        <v>14167.016019999999</v>
      </c>
      <c r="I10" s="24">
        <v>8240.3759300000002</v>
      </c>
      <c r="J10" s="24">
        <v>6963.1940299999997</v>
      </c>
      <c r="K10" s="24">
        <v>38340.493699999999</v>
      </c>
    </row>
    <row r="11" spans="1:19" ht="9.75" customHeight="1" x14ac:dyDescent="0.4">
      <c r="A11" s="44">
        <v>2003</v>
      </c>
      <c r="B11" s="24">
        <v>105300.08912999999</v>
      </c>
      <c r="C11" s="24">
        <v>1392.4903899999999</v>
      </c>
      <c r="D11" s="24">
        <v>5613.5771599999998</v>
      </c>
      <c r="E11" s="24">
        <v>12920.828380000001</v>
      </c>
      <c r="F11" s="24">
        <v>14079.123030000001</v>
      </c>
      <c r="G11" s="24">
        <v>7409.4984700000005</v>
      </c>
      <c r="H11" s="24">
        <v>12855.472750000001</v>
      </c>
      <c r="I11" s="24">
        <v>7525.78586</v>
      </c>
      <c r="J11" s="24">
        <v>7320.29871</v>
      </c>
      <c r="K11" s="24">
        <v>36183.014380000001</v>
      </c>
    </row>
    <row r="12" spans="1:19" ht="9.75" customHeight="1" x14ac:dyDescent="0.4">
      <c r="A12" s="44">
        <v>2004</v>
      </c>
      <c r="B12" s="24">
        <v>113360.56123000001</v>
      </c>
      <c r="C12" s="24">
        <v>1471.65499</v>
      </c>
      <c r="D12" s="24">
        <v>6188.4323700000004</v>
      </c>
      <c r="E12" s="24">
        <v>14113.92807</v>
      </c>
      <c r="F12" s="24">
        <v>15619.80732</v>
      </c>
      <c r="G12" s="24">
        <v>8300.2431899999992</v>
      </c>
      <c r="H12" s="24">
        <v>14111.91941</v>
      </c>
      <c r="I12" s="24">
        <v>8084.0187500000002</v>
      </c>
      <c r="J12" s="24">
        <v>7550.2071900000001</v>
      </c>
      <c r="K12" s="24">
        <v>37920.34994</v>
      </c>
    </row>
    <row r="13" spans="1:19" ht="9.75" customHeight="1" x14ac:dyDescent="0.4">
      <c r="A13" s="44">
        <v>2005</v>
      </c>
      <c r="B13" s="24">
        <v>94801.647129999998</v>
      </c>
      <c r="C13" s="24">
        <v>1044.9320299999999</v>
      </c>
      <c r="D13" s="24">
        <v>4842.1659600000003</v>
      </c>
      <c r="E13" s="24">
        <v>11108.6751</v>
      </c>
      <c r="F13" s="24">
        <v>13803.126099999999</v>
      </c>
      <c r="G13" s="24">
        <v>6398.2352799999999</v>
      </c>
      <c r="H13" s="24">
        <v>11265.340829999999</v>
      </c>
      <c r="I13" s="24">
        <v>7315.1852799999997</v>
      </c>
      <c r="J13" s="24">
        <v>5444.2543800000003</v>
      </c>
      <c r="K13" s="24">
        <v>33579.732170000003</v>
      </c>
    </row>
    <row r="14" spans="1:19" ht="9.75" customHeight="1" x14ac:dyDescent="0.4">
      <c r="A14" s="44">
        <v>2006</v>
      </c>
      <c r="B14" s="24">
        <v>104318.91537</v>
      </c>
      <c r="C14" s="70">
        <v>1276.0008</v>
      </c>
      <c r="D14" s="24">
        <v>5686.4937300000001</v>
      </c>
      <c r="E14" s="70">
        <v>13206.16682</v>
      </c>
      <c r="F14" s="70">
        <v>15201.42935</v>
      </c>
      <c r="G14" s="70">
        <v>7509.7894399999996</v>
      </c>
      <c r="H14" s="70">
        <v>12876.044910000001</v>
      </c>
      <c r="I14" s="70">
        <v>8100.0839699999997</v>
      </c>
      <c r="J14" s="70">
        <v>6199.1989599999997</v>
      </c>
      <c r="K14" s="70">
        <v>34263.707390000003</v>
      </c>
    </row>
    <row r="15" spans="1:19" ht="9.75" customHeight="1" x14ac:dyDescent="0.4">
      <c r="A15" s="44">
        <v>2007</v>
      </c>
      <c r="B15" s="24">
        <v>95891.442209999994</v>
      </c>
      <c r="C15" s="70">
        <v>1140.3693900000001</v>
      </c>
      <c r="D15" s="70">
        <v>5018.9477399999996</v>
      </c>
      <c r="E15" s="70">
        <v>12798.392379999999</v>
      </c>
      <c r="F15" s="70">
        <v>14426.35823</v>
      </c>
      <c r="G15" s="70">
        <v>6779.5082400000001</v>
      </c>
      <c r="H15" s="70">
        <v>11651.94585</v>
      </c>
      <c r="I15" s="70">
        <v>7142.97937</v>
      </c>
      <c r="J15" s="70">
        <v>5487.8808099999997</v>
      </c>
      <c r="K15" s="70">
        <v>31445.0602</v>
      </c>
    </row>
    <row r="16" spans="1:19" ht="9.75" customHeight="1" x14ac:dyDescent="0.4">
      <c r="A16" s="44">
        <v>2008</v>
      </c>
      <c r="B16" s="70">
        <v>94815.752269999997</v>
      </c>
      <c r="C16" s="70">
        <v>1103.81782</v>
      </c>
      <c r="D16" s="70">
        <v>4746.6089199999997</v>
      </c>
      <c r="E16" s="70">
        <v>12620.43865</v>
      </c>
      <c r="F16" s="70">
        <v>14454.583339999999</v>
      </c>
      <c r="G16" s="70">
        <v>6788.7289899999996</v>
      </c>
      <c r="H16" s="70">
        <v>11360.458430000001</v>
      </c>
      <c r="I16" s="70">
        <v>7165.8662899999999</v>
      </c>
      <c r="J16" s="70">
        <v>5599.3984600000003</v>
      </c>
      <c r="K16" s="70">
        <v>30975.85137</v>
      </c>
    </row>
    <row r="17" spans="1:12" ht="9.75" customHeight="1" x14ac:dyDescent="0.4">
      <c r="A17" s="44">
        <v>2009</v>
      </c>
      <c r="B17" s="71">
        <v>118722.09161</v>
      </c>
      <c r="C17" s="70">
        <v>1998.22027</v>
      </c>
      <c r="D17" s="70">
        <v>6137.8801100000001</v>
      </c>
      <c r="E17" s="70">
        <v>16515.567139999999</v>
      </c>
      <c r="F17" s="70">
        <v>17952.90783</v>
      </c>
      <c r="G17" s="70">
        <v>8447.0447399999994</v>
      </c>
      <c r="H17" s="70">
        <v>15171.326230000001</v>
      </c>
      <c r="I17" s="70">
        <v>8938.4335800000008</v>
      </c>
      <c r="J17" s="70">
        <v>6948.1141699999998</v>
      </c>
      <c r="K17" s="70">
        <v>36612.597540000002</v>
      </c>
    </row>
    <row r="18" spans="1:12" ht="9.75" customHeight="1" x14ac:dyDescent="0.4">
      <c r="A18" s="50">
        <v>2010</v>
      </c>
      <c r="B18" s="71">
        <v>118543.57755000002</v>
      </c>
      <c r="C18" s="71">
        <v>2356.4405999999999</v>
      </c>
      <c r="D18" s="71">
        <v>5855.3023800000001</v>
      </c>
      <c r="E18" s="71">
        <v>16309.75691</v>
      </c>
      <c r="F18" s="71">
        <v>17609.463930000002</v>
      </c>
      <c r="G18" s="71">
        <v>8504.0871399999996</v>
      </c>
      <c r="H18" s="71">
        <v>14054.48682</v>
      </c>
      <c r="I18" s="71">
        <v>8943.9725600000002</v>
      </c>
      <c r="J18" s="71">
        <v>6952.7265100000004</v>
      </c>
      <c r="K18" s="71">
        <v>37957.340700000001</v>
      </c>
    </row>
    <row r="19" spans="1:12" ht="9.75" customHeight="1" x14ac:dyDescent="0.4">
      <c r="A19" s="50">
        <v>2011</v>
      </c>
      <c r="B19" s="71">
        <v>115732.74314000001</v>
      </c>
      <c r="C19" s="71">
        <v>2524.07861</v>
      </c>
      <c r="D19" s="71">
        <v>6037.4406799999997</v>
      </c>
      <c r="E19" s="71">
        <v>15686.98641</v>
      </c>
      <c r="F19" s="71">
        <v>17812.36348</v>
      </c>
      <c r="G19" s="71">
        <v>8161.2735700000003</v>
      </c>
      <c r="H19" s="71">
        <v>13759.06889</v>
      </c>
      <c r="I19" s="71">
        <v>9182.6592000000001</v>
      </c>
      <c r="J19" s="71">
        <v>7050.11607</v>
      </c>
      <c r="K19" s="71">
        <v>35518.756229999999</v>
      </c>
    </row>
    <row r="20" spans="1:12" ht="9.75" customHeight="1" x14ac:dyDescent="0.4">
      <c r="A20" s="50">
        <v>2012</v>
      </c>
      <c r="B20" s="71">
        <v>118491.70564</v>
      </c>
      <c r="C20" s="71">
        <v>2453.15452</v>
      </c>
      <c r="D20" s="71">
        <v>6203.3512700000001</v>
      </c>
      <c r="E20" s="71">
        <v>15304.78818</v>
      </c>
      <c r="F20" s="71">
        <v>18408.674319999998</v>
      </c>
      <c r="G20" s="71">
        <v>7752.7783099999997</v>
      </c>
      <c r="H20" s="71">
        <v>14910.724770000001</v>
      </c>
      <c r="I20" s="71">
        <v>9551.1603200000009</v>
      </c>
      <c r="J20" s="71">
        <v>7597.1349899999996</v>
      </c>
      <c r="K20" s="71">
        <v>36309.938959999999</v>
      </c>
    </row>
    <row r="21" spans="1:12" ht="9.75" customHeight="1" x14ac:dyDescent="0.4">
      <c r="A21" s="50">
        <v>2013</v>
      </c>
      <c r="B21" s="71">
        <v>115025.61224000002</v>
      </c>
      <c r="C21" s="71">
        <v>2421.7868400000002</v>
      </c>
      <c r="D21" s="71">
        <v>5712.0502900000001</v>
      </c>
      <c r="E21" s="71">
        <v>14438.07741</v>
      </c>
      <c r="F21" s="71">
        <v>18189.916710000001</v>
      </c>
      <c r="G21" s="71">
        <v>7381.3305499999997</v>
      </c>
      <c r="H21" s="71">
        <v>14279.235619999999</v>
      </c>
      <c r="I21" s="71">
        <v>8980.7830099999992</v>
      </c>
      <c r="J21" s="71">
        <v>7405.0662400000001</v>
      </c>
      <c r="K21" s="71">
        <v>36217.365570000002</v>
      </c>
    </row>
    <row r="22" spans="1:12" ht="9.75" customHeight="1" x14ac:dyDescent="0.4">
      <c r="A22" s="50">
        <v>2014</v>
      </c>
      <c r="B22" s="71">
        <v>111738.56705</v>
      </c>
      <c r="C22" s="71">
        <v>2369.6282200000001</v>
      </c>
      <c r="D22" s="71">
        <v>5354.3711700000003</v>
      </c>
      <c r="E22" s="71">
        <v>13813.5357</v>
      </c>
      <c r="F22" s="71">
        <v>17974.695909999999</v>
      </c>
      <c r="G22" s="71">
        <v>7226.2923899999996</v>
      </c>
      <c r="H22" s="71">
        <v>13826.23963</v>
      </c>
      <c r="I22" s="71">
        <v>8811.0959399999992</v>
      </c>
      <c r="J22" s="71">
        <v>7245.8697400000001</v>
      </c>
      <c r="K22" s="71">
        <v>35116.838349999998</v>
      </c>
    </row>
    <row r="23" spans="1:12" ht="9.75" customHeight="1" x14ac:dyDescent="0.4">
      <c r="A23" s="50">
        <v>2015</v>
      </c>
      <c r="B23" s="72">
        <v>127203093.18000001</v>
      </c>
      <c r="C23" s="72">
        <v>2949328.75</v>
      </c>
      <c r="D23" s="72">
        <v>6233072.0800000001</v>
      </c>
      <c r="E23" s="72">
        <v>16162419.1</v>
      </c>
      <c r="F23" s="72">
        <v>19306837.960000001</v>
      </c>
      <c r="G23" s="72">
        <v>8991954.1300000008</v>
      </c>
      <c r="H23" s="72">
        <v>16140798.960000001</v>
      </c>
      <c r="I23" s="72">
        <v>9831970.9100000001</v>
      </c>
      <c r="J23" s="72">
        <v>8270369.1100000003</v>
      </c>
      <c r="K23" s="72">
        <v>39316342.18</v>
      </c>
    </row>
    <row r="24" spans="1:12" ht="9.75" customHeight="1" x14ac:dyDescent="0.4">
      <c r="A24" s="50">
        <v>2016</v>
      </c>
      <c r="B24" s="72">
        <v>118638212.48999999</v>
      </c>
      <c r="C24" s="72">
        <v>2787973.94</v>
      </c>
      <c r="D24" s="72">
        <v>5680941.5499999998</v>
      </c>
      <c r="E24" s="72">
        <v>14927355.619999999</v>
      </c>
      <c r="F24" s="72">
        <v>18516726.57</v>
      </c>
      <c r="G24" s="72">
        <v>8358532.8499999996</v>
      </c>
      <c r="H24" s="72">
        <v>15044207.949999999</v>
      </c>
      <c r="I24" s="72">
        <v>8878530.2100000009</v>
      </c>
      <c r="J24" s="72">
        <v>7746563.8300000001</v>
      </c>
      <c r="K24" s="72">
        <v>36697379.969999999</v>
      </c>
    </row>
    <row r="25" spans="1:12" ht="9.75" customHeight="1" x14ac:dyDescent="0.4">
      <c r="A25" s="50">
        <v>2017</v>
      </c>
      <c r="B25" s="72">
        <v>118885463.56</v>
      </c>
      <c r="C25" s="72">
        <v>2780158.06</v>
      </c>
      <c r="D25" s="72">
        <v>5610172.1500000004</v>
      </c>
      <c r="E25" s="72">
        <v>15163390.1</v>
      </c>
      <c r="F25" s="72">
        <v>18780959.850000001</v>
      </c>
      <c r="G25" s="72">
        <v>8568500.3699999992</v>
      </c>
      <c r="H25" s="72">
        <v>15063598.92</v>
      </c>
      <c r="I25" s="72">
        <v>8879433.0299999993</v>
      </c>
      <c r="J25" s="72">
        <v>7636192.5199999996</v>
      </c>
      <c r="K25" s="72">
        <v>36403058.560000002</v>
      </c>
    </row>
    <row r="26" spans="1:12" ht="9.75" customHeight="1" x14ac:dyDescent="0.4">
      <c r="A26" s="50">
        <v>2018</v>
      </c>
      <c r="B26" s="72">
        <v>108419707.98</v>
      </c>
      <c r="C26" s="72">
        <v>3217193.48</v>
      </c>
      <c r="D26" s="72">
        <v>5032671.4400000004</v>
      </c>
      <c r="E26" s="72">
        <v>13485009.6</v>
      </c>
      <c r="F26" s="72">
        <v>17594942.829999998</v>
      </c>
      <c r="G26" s="72">
        <v>7164407.8700000001</v>
      </c>
      <c r="H26" s="72">
        <v>14021156.449999999</v>
      </c>
      <c r="I26" s="72">
        <v>8346701.0899999999</v>
      </c>
      <c r="J26" s="72">
        <v>6738442.5499999998</v>
      </c>
      <c r="K26" s="72">
        <v>32819182.670000002</v>
      </c>
    </row>
    <row r="27" spans="1:12" ht="9.75" customHeight="1" x14ac:dyDescent="0.4">
      <c r="A27" s="50">
        <v>2019</v>
      </c>
      <c r="B27" s="71">
        <v>117329.66993</v>
      </c>
      <c r="C27" s="71">
        <v>3537.87736</v>
      </c>
      <c r="D27" s="71">
        <v>5417.1356500000002</v>
      </c>
      <c r="E27" s="71">
        <v>15589.14057</v>
      </c>
      <c r="F27" s="71">
        <v>19222.86736</v>
      </c>
      <c r="G27" s="71">
        <v>7850.83266</v>
      </c>
      <c r="H27" s="71">
        <v>15022.96852</v>
      </c>
      <c r="I27" s="71">
        <v>9068.0074600000007</v>
      </c>
      <c r="J27" s="71">
        <v>7302.6638600000006</v>
      </c>
      <c r="K27" s="71">
        <v>34318.176490000005</v>
      </c>
      <c r="L27" s="73"/>
    </row>
    <row r="28" spans="1:12" ht="9.75" customHeight="1" x14ac:dyDescent="0.4">
      <c r="A28" s="50"/>
      <c r="B28" s="71"/>
      <c r="C28" s="71"/>
      <c r="D28" s="71"/>
      <c r="E28" s="71"/>
      <c r="F28" s="71"/>
      <c r="G28" s="71"/>
      <c r="H28" s="71"/>
      <c r="I28" s="71"/>
      <c r="J28" s="71"/>
      <c r="K28" s="71"/>
    </row>
    <row r="29" spans="1:12" ht="19.5" customHeight="1" x14ac:dyDescent="0.4">
      <c r="A29" s="55" t="s">
        <v>44</v>
      </c>
      <c r="B29" s="55"/>
      <c r="C29" s="55"/>
      <c r="D29" s="55"/>
      <c r="E29" s="55"/>
      <c r="F29" s="55"/>
      <c r="G29" s="55"/>
      <c r="H29" s="55"/>
      <c r="I29" s="55"/>
      <c r="J29" s="55"/>
      <c r="K29" s="55"/>
    </row>
    <row r="30" spans="1:12" ht="9.75" customHeight="1" x14ac:dyDescent="0.4">
      <c r="A30" s="52"/>
      <c r="B30" s="52"/>
      <c r="C30" s="52"/>
      <c r="D30" s="52"/>
      <c r="E30" s="52"/>
      <c r="F30" s="52"/>
      <c r="G30" s="52"/>
      <c r="H30" s="52"/>
      <c r="I30" s="52"/>
      <c r="J30" s="52"/>
      <c r="K30" s="52"/>
    </row>
    <row r="31" spans="1:12" ht="9.75" customHeight="1" x14ac:dyDescent="0.4"/>
    <row r="32" spans="1:12" ht="9.75" customHeight="1" x14ac:dyDescent="0.4"/>
    <row r="33" spans="2:2" ht="9.75" customHeight="1" x14ac:dyDescent="0.4">
      <c r="B33" s="74"/>
    </row>
    <row r="34" spans="2:2" ht="9.75" customHeight="1" x14ac:dyDescent="0.4"/>
    <row r="35" spans="2:2" ht="9.75" customHeight="1" x14ac:dyDescent="0.4"/>
    <row r="36" spans="2:2" ht="9.75" customHeight="1" x14ac:dyDescent="0.4"/>
    <row r="37" spans="2:2" ht="9.75" customHeight="1" x14ac:dyDescent="0.4"/>
    <row r="38" spans="2:2" ht="9.75" customHeight="1" x14ac:dyDescent="0.4"/>
    <row r="39" spans="2:2" ht="9.75" customHeight="1" x14ac:dyDescent="0.4"/>
    <row r="40" spans="2:2" ht="9.75" customHeight="1" x14ac:dyDescent="0.4"/>
    <row r="41" spans="2:2" ht="9.75" customHeight="1" x14ac:dyDescent="0.4"/>
    <row r="42" spans="2:2" ht="9.75" customHeight="1" x14ac:dyDescent="0.4"/>
    <row r="43" spans="2:2" ht="9.75" customHeight="1" x14ac:dyDescent="0.4"/>
    <row r="44" spans="2:2" ht="9.75" customHeight="1" x14ac:dyDescent="0.4"/>
    <row r="45" spans="2:2" ht="9.75" customHeight="1" x14ac:dyDescent="0.4"/>
    <row r="46" spans="2:2" ht="9.75" customHeight="1" x14ac:dyDescent="0.4"/>
    <row r="47" spans="2:2" ht="9.75" customHeight="1" x14ac:dyDescent="0.4"/>
    <row r="48" spans="2:2" ht="9.75" customHeight="1" x14ac:dyDescent="0.4"/>
    <row r="49" ht="9.75" customHeight="1" x14ac:dyDescent="0.4"/>
    <row r="50" ht="9.75" customHeight="1" x14ac:dyDescent="0.4"/>
    <row r="51" ht="9.75" customHeight="1" x14ac:dyDescent="0.4"/>
    <row r="52" ht="9.75" customHeight="1" x14ac:dyDescent="0.4"/>
    <row r="53" ht="9.75" customHeight="1" x14ac:dyDescent="0.4"/>
    <row r="54" ht="9.75" customHeight="1" x14ac:dyDescent="0.4"/>
    <row r="55" ht="9.75" customHeight="1" x14ac:dyDescent="0.4"/>
    <row r="56" ht="9.75" customHeight="1" x14ac:dyDescent="0.4"/>
    <row r="57" ht="9.75" customHeight="1" x14ac:dyDescent="0.4"/>
    <row r="58" ht="9.75" customHeight="1" x14ac:dyDescent="0.4"/>
    <row r="59" ht="9.75" customHeight="1" x14ac:dyDescent="0.4"/>
    <row r="60" ht="9.75" customHeight="1" x14ac:dyDescent="0.4"/>
    <row r="61" ht="9.75" customHeight="1" x14ac:dyDescent="0.4"/>
    <row r="62" ht="9.75" customHeight="1" x14ac:dyDescent="0.4"/>
    <row r="63" ht="9.75" customHeight="1" x14ac:dyDescent="0.4"/>
    <row r="64" ht="9.75" customHeight="1" x14ac:dyDescent="0.4"/>
    <row r="65" ht="9.75" customHeight="1" x14ac:dyDescent="0.4"/>
    <row r="66" ht="9.75" customHeight="1" x14ac:dyDescent="0.4"/>
    <row r="67" ht="9.75" customHeight="1" x14ac:dyDescent="0.4"/>
    <row r="68" ht="9.75" customHeight="1" x14ac:dyDescent="0.4"/>
    <row r="69" ht="9.75" customHeight="1" x14ac:dyDescent="0.4"/>
    <row r="70" ht="9.75" customHeight="1" x14ac:dyDescent="0.4"/>
    <row r="71" ht="9.75" customHeight="1" x14ac:dyDescent="0.4"/>
    <row r="72" ht="9.75" customHeight="1" x14ac:dyDescent="0.4"/>
    <row r="73" ht="9.75" customHeight="1" x14ac:dyDescent="0.4"/>
    <row r="74" ht="9.75" customHeight="1" x14ac:dyDescent="0.4"/>
    <row r="75" ht="9.75" customHeight="1" x14ac:dyDescent="0.4"/>
    <row r="76" ht="9.75" customHeight="1" x14ac:dyDescent="0.4"/>
    <row r="77" ht="9.75" customHeight="1" x14ac:dyDescent="0.4"/>
    <row r="78" ht="9.75" customHeight="1" x14ac:dyDescent="0.4"/>
  </sheetData>
  <mergeCells count="4">
    <mergeCell ref="A1:K1"/>
    <mergeCell ref="A3:A4"/>
    <mergeCell ref="B4:K4"/>
    <mergeCell ref="A29:K29"/>
  </mergeCells>
  <printOptions horizontalCentered="1"/>
  <pageMargins left="0.78740157480314998" right="0.78740157480314998" top="0.78740157480315021" bottom="0.78740157480315021" header="0.31496062992126012" footer="0.31496062992126012"/>
  <pageSetup paperSize="0" fitToWidth="0" fitToHeight="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9"/>
  <sheetViews>
    <sheetView workbookViewId="0"/>
  </sheetViews>
  <sheetFormatPr baseColWidth="10" defaultColWidth="10" defaultRowHeight="9" x14ac:dyDescent="0.25"/>
  <cols>
    <col min="1" max="1" width="10.88671875" style="106" customWidth="1"/>
    <col min="2" max="2" width="4.21875" style="106" customWidth="1"/>
    <col min="3" max="3" width="5.109375" style="106" customWidth="1"/>
    <col min="4" max="4" width="4.21875" style="106" customWidth="1"/>
    <col min="5" max="5" width="5.109375" style="106" customWidth="1"/>
    <col min="6" max="6" width="4.21875" style="106" customWidth="1"/>
    <col min="7" max="7" width="5.109375" style="106" customWidth="1"/>
    <col min="8" max="8" width="4.21875" style="106" customWidth="1"/>
    <col min="9" max="9" width="5.109375" style="106" customWidth="1"/>
    <col min="10" max="10" width="4.21875" style="106" customWidth="1"/>
    <col min="11" max="11" width="5.109375" style="106" customWidth="1"/>
    <col min="12" max="12" width="4.21875" style="106" customWidth="1"/>
    <col min="13" max="13" width="5.109375" style="106" customWidth="1"/>
    <col min="14" max="14" width="4.21875" style="106" customWidth="1"/>
    <col min="15" max="15" width="5.109375" style="106" customWidth="1"/>
    <col min="16" max="16" width="10" style="106" customWidth="1"/>
    <col min="17" max="16384" width="10" style="106"/>
  </cols>
  <sheetData>
    <row r="1" spans="1:17" s="76" customFormat="1" ht="12" customHeight="1" x14ac:dyDescent="0.35">
      <c r="A1" s="108" t="s">
        <v>6</v>
      </c>
      <c r="B1" s="108"/>
      <c r="C1" s="108"/>
      <c r="D1" s="108"/>
      <c r="E1" s="108"/>
      <c r="F1" s="108"/>
      <c r="G1" s="108"/>
      <c r="H1" s="108"/>
      <c r="I1" s="108"/>
      <c r="J1" s="108"/>
      <c r="K1" s="108"/>
      <c r="L1" s="108"/>
      <c r="M1" s="108"/>
      <c r="N1" s="108"/>
      <c r="O1" s="108"/>
    </row>
    <row r="2" spans="1:17" s="79" customFormat="1" ht="11.65" x14ac:dyDescent="0.35">
      <c r="A2" s="77"/>
      <c r="B2" s="77"/>
      <c r="C2" s="77"/>
      <c r="D2" s="78"/>
      <c r="E2" s="78"/>
    </row>
    <row r="3" spans="1:17" s="82" customFormat="1" ht="15" customHeight="1" x14ac:dyDescent="0.4">
      <c r="A3" s="109" t="s">
        <v>45</v>
      </c>
      <c r="B3" s="110">
        <v>2005</v>
      </c>
      <c r="C3" s="110"/>
      <c r="D3" s="110">
        <v>2010</v>
      </c>
      <c r="E3" s="110"/>
      <c r="F3" s="110">
        <v>2015</v>
      </c>
      <c r="G3" s="110"/>
      <c r="H3" s="110">
        <v>2016</v>
      </c>
      <c r="I3" s="110"/>
      <c r="J3" s="110">
        <v>2017</v>
      </c>
      <c r="K3" s="110"/>
      <c r="L3" s="110">
        <v>2018</v>
      </c>
      <c r="M3" s="110"/>
      <c r="N3" s="111">
        <v>2019</v>
      </c>
      <c r="O3" s="111"/>
    </row>
    <row r="4" spans="1:17" s="82" customFormat="1" ht="19.899999999999999" customHeight="1" x14ac:dyDescent="0.4">
      <c r="A4" s="109"/>
      <c r="B4" s="80" t="s">
        <v>46</v>
      </c>
      <c r="C4" s="83" t="s">
        <v>47</v>
      </c>
      <c r="D4" s="81" t="s">
        <v>46</v>
      </c>
      <c r="E4" s="83" t="s">
        <v>47</v>
      </c>
      <c r="F4" s="81" t="s">
        <v>46</v>
      </c>
      <c r="G4" s="84" t="s">
        <v>47</v>
      </c>
      <c r="H4" s="81" t="s">
        <v>46</v>
      </c>
      <c r="I4" s="84" t="s">
        <v>47</v>
      </c>
      <c r="J4" s="81" t="s">
        <v>46</v>
      </c>
      <c r="K4" s="84" t="s">
        <v>47</v>
      </c>
      <c r="L4" s="81" t="s">
        <v>46</v>
      </c>
      <c r="M4" s="84" t="s">
        <v>47</v>
      </c>
      <c r="N4" s="81" t="s">
        <v>46</v>
      </c>
      <c r="O4" s="84" t="s">
        <v>47</v>
      </c>
      <c r="P4" s="85"/>
      <c r="Q4" s="85"/>
    </row>
    <row r="5" spans="1:17" s="87" customFormat="1" ht="13.15" customHeight="1" x14ac:dyDescent="0.25">
      <c r="A5" s="86" t="s">
        <v>48</v>
      </c>
      <c r="B5" s="87">
        <v>300</v>
      </c>
      <c r="C5" s="88">
        <v>14271507</v>
      </c>
      <c r="D5" s="89">
        <v>310</v>
      </c>
      <c r="E5" s="88">
        <v>14818465</v>
      </c>
      <c r="F5" s="87">
        <v>375</v>
      </c>
      <c r="G5" s="88">
        <v>14860084</v>
      </c>
      <c r="H5" s="87">
        <v>413</v>
      </c>
      <c r="I5" s="88">
        <v>14343912</v>
      </c>
      <c r="J5" s="87">
        <v>414</v>
      </c>
      <c r="K5" s="90">
        <v>13947962</v>
      </c>
      <c r="L5" s="87">
        <v>420</v>
      </c>
      <c r="M5" s="90">
        <v>12111287</v>
      </c>
      <c r="N5" s="87">
        <v>438</v>
      </c>
      <c r="O5" s="90">
        <v>13104366</v>
      </c>
      <c r="Q5" s="91"/>
    </row>
    <row r="6" spans="1:17" s="92" customFormat="1" ht="12.75" customHeight="1" x14ac:dyDescent="0.25">
      <c r="A6" s="86" t="s">
        <v>49</v>
      </c>
      <c r="B6" s="87">
        <v>155</v>
      </c>
      <c r="C6" s="88">
        <v>2970912</v>
      </c>
      <c r="D6" s="87">
        <v>176</v>
      </c>
      <c r="E6" s="88">
        <v>2846958</v>
      </c>
      <c r="F6" s="87">
        <v>218</v>
      </c>
      <c r="G6" s="88">
        <v>4536619</v>
      </c>
      <c r="H6" s="87">
        <v>235</v>
      </c>
      <c r="I6" s="88">
        <v>3087972</v>
      </c>
      <c r="J6" s="87">
        <v>248</v>
      </c>
      <c r="K6" s="88">
        <v>4047479</v>
      </c>
      <c r="L6" s="87">
        <v>254</v>
      </c>
      <c r="M6" s="88">
        <v>2889238</v>
      </c>
      <c r="N6" s="87">
        <v>254</v>
      </c>
      <c r="O6" s="88">
        <v>3008866</v>
      </c>
      <c r="Q6" s="93"/>
    </row>
    <row r="7" spans="1:17" s="99" customFormat="1" ht="9.75" customHeight="1" x14ac:dyDescent="0.25">
      <c r="A7" s="94" t="s">
        <v>50</v>
      </c>
      <c r="B7" s="95" t="s">
        <v>51</v>
      </c>
      <c r="C7" s="95" t="s">
        <v>51</v>
      </c>
      <c r="D7" s="95" t="s">
        <v>51</v>
      </c>
      <c r="E7" s="96" t="s">
        <v>51</v>
      </c>
      <c r="F7" s="96" t="s">
        <v>51</v>
      </c>
      <c r="G7" s="96" t="s">
        <v>51</v>
      </c>
      <c r="H7" s="97" t="s">
        <v>51</v>
      </c>
      <c r="I7" s="96" t="s">
        <v>51</v>
      </c>
      <c r="J7" s="96" t="s">
        <v>51</v>
      </c>
      <c r="K7" s="96" t="s">
        <v>51</v>
      </c>
      <c r="L7" s="95" t="s">
        <v>51</v>
      </c>
      <c r="M7" s="95" t="s">
        <v>51</v>
      </c>
      <c r="N7" s="98">
        <v>2</v>
      </c>
      <c r="O7" s="96">
        <v>1758</v>
      </c>
    </row>
    <row r="8" spans="1:17" s="99" customFormat="1" ht="9.75" customHeight="1" x14ac:dyDescent="0.25">
      <c r="A8" s="94" t="s">
        <v>52</v>
      </c>
      <c r="B8" s="95" t="s">
        <v>51</v>
      </c>
      <c r="C8" s="96" t="s">
        <v>51</v>
      </c>
      <c r="D8" s="98">
        <v>5</v>
      </c>
      <c r="E8" s="96">
        <v>107350</v>
      </c>
      <c r="F8" s="96" t="s">
        <v>51</v>
      </c>
      <c r="G8" s="96" t="s">
        <v>51</v>
      </c>
      <c r="H8" s="98">
        <v>2</v>
      </c>
      <c r="I8" s="96">
        <v>77339</v>
      </c>
      <c r="J8" s="98">
        <v>5</v>
      </c>
      <c r="K8" s="96">
        <v>80324</v>
      </c>
      <c r="L8" s="98">
        <v>1</v>
      </c>
      <c r="M8" s="96">
        <v>80</v>
      </c>
      <c r="N8" s="98">
        <v>2</v>
      </c>
      <c r="O8" s="96">
        <v>60372</v>
      </c>
    </row>
    <row r="9" spans="1:17" s="99" customFormat="1" ht="9.75" customHeight="1" x14ac:dyDescent="0.25">
      <c r="A9" s="94" t="s">
        <v>53</v>
      </c>
      <c r="B9" s="98">
        <v>1</v>
      </c>
      <c r="C9" s="96">
        <v>166</v>
      </c>
      <c r="D9" s="95" t="s">
        <v>51</v>
      </c>
      <c r="E9" s="96" t="s">
        <v>51</v>
      </c>
      <c r="F9" s="96" t="s">
        <v>51</v>
      </c>
      <c r="G9" s="96" t="s">
        <v>51</v>
      </c>
      <c r="H9" s="97" t="s">
        <v>51</v>
      </c>
      <c r="I9" s="96" t="s">
        <v>51</v>
      </c>
      <c r="J9" s="96" t="s">
        <v>51</v>
      </c>
      <c r="K9" s="96" t="s">
        <v>51</v>
      </c>
      <c r="L9" s="98">
        <v>2</v>
      </c>
      <c r="M9" s="96">
        <v>1586</v>
      </c>
      <c r="N9" s="95" t="s">
        <v>51</v>
      </c>
      <c r="O9" s="95" t="s">
        <v>51</v>
      </c>
    </row>
    <row r="10" spans="1:17" s="99" customFormat="1" ht="9.75" customHeight="1" x14ac:dyDescent="0.25">
      <c r="A10" s="94" t="s">
        <v>54</v>
      </c>
      <c r="B10" s="98">
        <v>6</v>
      </c>
      <c r="C10" s="96">
        <v>13558</v>
      </c>
      <c r="D10" s="98">
        <v>1</v>
      </c>
      <c r="E10" s="96">
        <v>126</v>
      </c>
      <c r="F10" s="98">
        <v>4</v>
      </c>
      <c r="G10" s="96">
        <v>6371</v>
      </c>
      <c r="H10" s="98">
        <v>5</v>
      </c>
      <c r="I10" s="96">
        <v>10785</v>
      </c>
      <c r="J10" s="98">
        <v>2</v>
      </c>
      <c r="K10" s="96">
        <v>1529</v>
      </c>
      <c r="L10" s="98">
        <v>3</v>
      </c>
      <c r="M10" s="96">
        <v>13322</v>
      </c>
      <c r="N10" s="98">
        <v>3</v>
      </c>
      <c r="O10" s="96">
        <v>15220</v>
      </c>
    </row>
    <row r="11" spans="1:17" s="99" customFormat="1" ht="9.75" customHeight="1" x14ac:dyDescent="0.25">
      <c r="A11" s="94" t="s">
        <v>55</v>
      </c>
      <c r="B11" s="98">
        <v>34</v>
      </c>
      <c r="C11" s="96">
        <v>1165946</v>
      </c>
      <c r="D11" s="98">
        <v>45</v>
      </c>
      <c r="E11" s="96">
        <v>849797</v>
      </c>
      <c r="F11" s="98">
        <v>59</v>
      </c>
      <c r="G11" s="96">
        <v>1824209</v>
      </c>
      <c r="H11" s="98">
        <v>62</v>
      </c>
      <c r="I11" s="96">
        <v>1311010</v>
      </c>
      <c r="J11" s="98">
        <v>64</v>
      </c>
      <c r="K11" s="96">
        <v>1941147</v>
      </c>
      <c r="L11" s="98">
        <v>68</v>
      </c>
      <c r="M11" s="96">
        <v>1422380</v>
      </c>
      <c r="N11" s="98">
        <v>71</v>
      </c>
      <c r="O11" s="96">
        <v>1476754</v>
      </c>
    </row>
    <row r="12" spans="1:17" s="99" customFormat="1" ht="9.75" customHeight="1" x14ac:dyDescent="0.25">
      <c r="A12" s="94" t="s">
        <v>56</v>
      </c>
      <c r="B12" s="95" t="s">
        <v>51</v>
      </c>
      <c r="C12" s="95" t="s">
        <v>51</v>
      </c>
      <c r="D12" s="95" t="s">
        <v>51</v>
      </c>
      <c r="E12" s="95" t="s">
        <v>51</v>
      </c>
      <c r="F12" s="95" t="s">
        <v>51</v>
      </c>
      <c r="G12" s="95" t="s">
        <v>51</v>
      </c>
      <c r="H12" s="98">
        <v>1</v>
      </c>
      <c r="I12" s="96">
        <v>313</v>
      </c>
      <c r="J12" s="96" t="s">
        <v>51</v>
      </c>
      <c r="K12" s="96" t="s">
        <v>51</v>
      </c>
      <c r="L12" s="96" t="s">
        <v>51</v>
      </c>
      <c r="M12" s="96" t="s">
        <v>51</v>
      </c>
      <c r="N12" s="95" t="s">
        <v>51</v>
      </c>
      <c r="O12" s="95" t="s">
        <v>51</v>
      </c>
    </row>
    <row r="13" spans="1:17" s="99" customFormat="1" ht="9.75" customHeight="1" x14ac:dyDescent="0.25">
      <c r="A13" s="94" t="s">
        <v>57</v>
      </c>
      <c r="B13" s="95" t="s">
        <v>51</v>
      </c>
      <c r="C13" s="96" t="s">
        <v>51</v>
      </c>
      <c r="D13" s="95" t="s">
        <v>51</v>
      </c>
      <c r="E13" s="96" t="s">
        <v>51</v>
      </c>
      <c r="F13" s="98">
        <v>2</v>
      </c>
      <c r="G13" s="96">
        <v>1932</v>
      </c>
      <c r="H13" s="98">
        <v>1</v>
      </c>
      <c r="I13" s="96">
        <v>1180</v>
      </c>
      <c r="J13" s="98">
        <v>4</v>
      </c>
      <c r="K13" s="96">
        <v>12037</v>
      </c>
      <c r="L13" s="96" t="s">
        <v>51</v>
      </c>
      <c r="M13" s="96" t="s">
        <v>51</v>
      </c>
      <c r="N13" s="98">
        <v>2</v>
      </c>
      <c r="O13" s="96">
        <v>11018</v>
      </c>
    </row>
    <row r="14" spans="1:17" s="99" customFormat="1" ht="9.75" customHeight="1" x14ac:dyDescent="0.25">
      <c r="A14" s="94" t="s">
        <v>58</v>
      </c>
      <c r="B14" s="98">
        <v>29</v>
      </c>
      <c r="C14" s="96">
        <v>483988</v>
      </c>
      <c r="D14" s="98">
        <v>36</v>
      </c>
      <c r="E14" s="96">
        <v>396249</v>
      </c>
      <c r="F14" s="98">
        <v>35</v>
      </c>
      <c r="G14" s="96">
        <v>590085</v>
      </c>
      <c r="H14" s="98">
        <v>43</v>
      </c>
      <c r="I14" s="96">
        <v>338836</v>
      </c>
      <c r="J14" s="98">
        <v>43</v>
      </c>
      <c r="K14" s="96">
        <v>412170</v>
      </c>
      <c r="L14" s="98">
        <v>31</v>
      </c>
      <c r="M14" s="96">
        <v>179497</v>
      </c>
      <c r="N14" s="98">
        <v>39</v>
      </c>
      <c r="O14" s="96">
        <v>589146</v>
      </c>
    </row>
    <row r="15" spans="1:17" s="99" customFormat="1" ht="9.75" customHeight="1" x14ac:dyDescent="0.25">
      <c r="A15" s="94" t="s">
        <v>59</v>
      </c>
      <c r="B15" s="98">
        <v>1</v>
      </c>
      <c r="C15" s="96">
        <v>32043</v>
      </c>
      <c r="D15" s="98">
        <v>1</v>
      </c>
      <c r="E15" s="96">
        <v>2973</v>
      </c>
      <c r="F15" s="96" t="s">
        <v>51</v>
      </c>
      <c r="G15" s="96" t="s">
        <v>51</v>
      </c>
      <c r="H15" s="98">
        <v>1</v>
      </c>
      <c r="I15" s="96">
        <v>1430</v>
      </c>
      <c r="J15" s="98">
        <v>1</v>
      </c>
      <c r="K15" s="96">
        <v>733</v>
      </c>
      <c r="L15" s="96" t="s">
        <v>51</v>
      </c>
      <c r="M15" s="96" t="s">
        <v>51</v>
      </c>
      <c r="N15" s="95" t="s">
        <v>51</v>
      </c>
      <c r="O15" s="95" t="s">
        <v>51</v>
      </c>
    </row>
    <row r="16" spans="1:17" s="99" customFormat="1" ht="9.75" customHeight="1" x14ac:dyDescent="0.25">
      <c r="A16" s="94" t="s">
        <v>60</v>
      </c>
      <c r="B16" s="95" t="s">
        <v>51</v>
      </c>
      <c r="C16" s="96" t="s">
        <v>51</v>
      </c>
      <c r="D16" s="98">
        <v>3</v>
      </c>
      <c r="E16" s="96">
        <v>6373</v>
      </c>
      <c r="F16" s="98">
        <v>1</v>
      </c>
      <c r="G16" s="96">
        <v>2113</v>
      </c>
      <c r="H16" s="98">
        <v>3</v>
      </c>
      <c r="I16" s="96">
        <v>23817</v>
      </c>
      <c r="J16" s="98">
        <v>1</v>
      </c>
      <c r="K16" s="96">
        <v>13776</v>
      </c>
      <c r="L16" s="98">
        <v>3</v>
      </c>
      <c r="M16" s="96">
        <v>6554</v>
      </c>
      <c r="N16" s="98">
        <v>3</v>
      </c>
      <c r="O16" s="96">
        <v>8293</v>
      </c>
    </row>
    <row r="17" spans="1:15" s="99" customFormat="1" ht="9.75" customHeight="1" x14ac:dyDescent="0.25">
      <c r="A17" s="94" t="s">
        <v>61</v>
      </c>
      <c r="B17" s="95" t="s">
        <v>51</v>
      </c>
      <c r="C17" s="96" t="s">
        <v>51</v>
      </c>
      <c r="D17" s="98">
        <v>1</v>
      </c>
      <c r="E17" s="96">
        <v>1114</v>
      </c>
      <c r="F17" s="95">
        <v>2</v>
      </c>
      <c r="G17" s="96">
        <v>4588</v>
      </c>
      <c r="H17" s="95">
        <v>2</v>
      </c>
      <c r="I17" s="96">
        <v>15887</v>
      </c>
      <c r="J17" s="96" t="s">
        <v>51</v>
      </c>
      <c r="K17" s="96" t="s">
        <v>51</v>
      </c>
      <c r="L17" s="98">
        <v>2</v>
      </c>
      <c r="M17" s="96">
        <v>9461</v>
      </c>
      <c r="N17" s="95" t="s">
        <v>51</v>
      </c>
      <c r="O17" s="95" t="s">
        <v>51</v>
      </c>
    </row>
    <row r="18" spans="1:15" s="99" customFormat="1" ht="9.75" customHeight="1" x14ac:dyDescent="0.25">
      <c r="A18" s="94" t="s">
        <v>62</v>
      </c>
      <c r="B18" s="98">
        <v>4</v>
      </c>
      <c r="C18" s="96">
        <v>7874</v>
      </c>
      <c r="D18" s="98">
        <v>3</v>
      </c>
      <c r="E18" s="96">
        <v>57323</v>
      </c>
      <c r="F18" s="98">
        <v>7</v>
      </c>
      <c r="G18" s="96">
        <v>43302</v>
      </c>
      <c r="H18" s="98">
        <v>4</v>
      </c>
      <c r="I18" s="96">
        <v>31577</v>
      </c>
      <c r="J18" s="98">
        <v>4</v>
      </c>
      <c r="K18" s="96">
        <v>15112</v>
      </c>
      <c r="L18" s="98">
        <v>10</v>
      </c>
      <c r="M18" s="96">
        <v>42168</v>
      </c>
      <c r="N18" s="98">
        <v>10</v>
      </c>
      <c r="O18" s="96">
        <v>36566</v>
      </c>
    </row>
    <row r="19" spans="1:15" s="99" customFormat="1" ht="9.75" customHeight="1" x14ac:dyDescent="0.25">
      <c r="A19" s="94" t="s">
        <v>63</v>
      </c>
      <c r="B19" s="98">
        <v>1</v>
      </c>
      <c r="C19" s="96">
        <v>474</v>
      </c>
      <c r="D19" s="95" t="s">
        <v>51</v>
      </c>
      <c r="E19" s="96" t="s">
        <v>51</v>
      </c>
      <c r="F19" s="96" t="s">
        <v>51</v>
      </c>
      <c r="G19" s="96" t="s">
        <v>51</v>
      </c>
      <c r="H19" s="97" t="s">
        <v>51</v>
      </c>
      <c r="I19" s="96" t="s">
        <v>51</v>
      </c>
      <c r="J19" s="96" t="s">
        <v>51</v>
      </c>
      <c r="K19" s="96" t="s">
        <v>51</v>
      </c>
      <c r="L19" s="96" t="s">
        <v>51</v>
      </c>
      <c r="M19" s="96" t="s">
        <v>51</v>
      </c>
      <c r="N19" s="95" t="s">
        <v>51</v>
      </c>
      <c r="O19" s="95" t="s">
        <v>51</v>
      </c>
    </row>
    <row r="20" spans="1:15" s="99" customFormat="1" ht="9.75" customHeight="1" x14ac:dyDescent="0.25">
      <c r="A20" s="94" t="s">
        <v>64</v>
      </c>
      <c r="B20" s="95" t="s">
        <v>51</v>
      </c>
      <c r="C20" s="95" t="s">
        <v>51</v>
      </c>
      <c r="D20" s="95" t="s">
        <v>51</v>
      </c>
      <c r="E20" s="95" t="s">
        <v>51</v>
      </c>
      <c r="F20" s="95" t="s">
        <v>51</v>
      </c>
      <c r="G20" s="95" t="s">
        <v>51</v>
      </c>
      <c r="H20" s="95" t="s">
        <v>51</v>
      </c>
      <c r="I20" s="95" t="s">
        <v>51</v>
      </c>
      <c r="J20" s="95" t="s">
        <v>51</v>
      </c>
      <c r="K20" s="95" t="s">
        <v>51</v>
      </c>
      <c r="L20" s="98">
        <v>1</v>
      </c>
      <c r="M20" s="96">
        <v>11</v>
      </c>
      <c r="N20" s="95" t="s">
        <v>51</v>
      </c>
      <c r="O20" s="95" t="s">
        <v>51</v>
      </c>
    </row>
    <row r="21" spans="1:15" s="99" customFormat="1" ht="9.75" customHeight="1" x14ac:dyDescent="0.25">
      <c r="A21" s="94" t="s">
        <v>65</v>
      </c>
      <c r="B21" s="95" t="s">
        <v>51</v>
      </c>
      <c r="C21" s="96" t="s">
        <v>51</v>
      </c>
      <c r="D21" s="95" t="s">
        <v>51</v>
      </c>
      <c r="E21" s="96" t="s">
        <v>51</v>
      </c>
      <c r="F21" s="96" t="s">
        <v>51</v>
      </c>
      <c r="G21" s="96" t="s">
        <v>51</v>
      </c>
      <c r="H21" s="95">
        <v>2</v>
      </c>
      <c r="I21" s="96">
        <v>36387</v>
      </c>
      <c r="J21" s="95">
        <v>3</v>
      </c>
      <c r="K21" s="96">
        <v>35959</v>
      </c>
      <c r="L21" s="96" t="s">
        <v>51</v>
      </c>
      <c r="M21" s="96" t="s">
        <v>51</v>
      </c>
      <c r="N21" s="98">
        <v>2</v>
      </c>
      <c r="O21" s="96">
        <v>28466</v>
      </c>
    </row>
    <row r="22" spans="1:15" s="99" customFormat="1" ht="9.75" customHeight="1" x14ac:dyDescent="0.25">
      <c r="A22" s="94" t="s">
        <v>66</v>
      </c>
      <c r="B22" s="95" t="s">
        <v>51</v>
      </c>
      <c r="C22" s="95" t="s">
        <v>51</v>
      </c>
      <c r="D22" s="95" t="s">
        <v>51</v>
      </c>
      <c r="E22" s="95" t="s">
        <v>51</v>
      </c>
      <c r="F22" s="95" t="s">
        <v>51</v>
      </c>
      <c r="G22" s="95" t="s">
        <v>51</v>
      </c>
      <c r="H22" s="95" t="s">
        <v>51</v>
      </c>
      <c r="I22" s="95" t="s">
        <v>51</v>
      </c>
      <c r="J22" s="95" t="s">
        <v>51</v>
      </c>
      <c r="K22" s="95" t="s">
        <v>51</v>
      </c>
      <c r="L22" s="95" t="s">
        <v>51</v>
      </c>
      <c r="M22" s="95" t="s">
        <v>51</v>
      </c>
      <c r="N22" s="98">
        <v>1</v>
      </c>
      <c r="O22" s="96">
        <v>1852</v>
      </c>
    </row>
    <row r="23" spans="1:15" s="99" customFormat="1" ht="9.75" customHeight="1" x14ac:dyDescent="0.25">
      <c r="A23" s="94" t="s">
        <v>67</v>
      </c>
      <c r="B23" s="98">
        <v>3</v>
      </c>
      <c r="C23" s="96">
        <v>1104</v>
      </c>
      <c r="D23" s="98">
        <v>1</v>
      </c>
      <c r="E23" s="96">
        <v>36</v>
      </c>
      <c r="F23" s="95">
        <v>1</v>
      </c>
      <c r="G23" s="96">
        <v>708</v>
      </c>
      <c r="H23" s="95">
        <v>1</v>
      </c>
      <c r="I23" s="96">
        <v>110</v>
      </c>
      <c r="J23" s="95">
        <v>2</v>
      </c>
      <c r="K23" s="96">
        <v>47892</v>
      </c>
      <c r="L23" s="98">
        <v>2</v>
      </c>
      <c r="M23" s="96">
        <v>3849</v>
      </c>
      <c r="N23" s="98">
        <v>1</v>
      </c>
      <c r="O23" s="96">
        <v>2218</v>
      </c>
    </row>
    <row r="24" spans="1:15" s="99" customFormat="1" ht="9.75" customHeight="1" x14ac:dyDescent="0.25">
      <c r="A24" s="94" t="s">
        <v>68</v>
      </c>
      <c r="B24" s="98">
        <v>1</v>
      </c>
      <c r="C24" s="96">
        <v>9254</v>
      </c>
      <c r="D24" s="98">
        <v>3</v>
      </c>
      <c r="E24" s="96">
        <v>9487</v>
      </c>
      <c r="F24" s="98">
        <v>4</v>
      </c>
      <c r="G24" s="96">
        <v>8949</v>
      </c>
      <c r="H24" s="98">
        <v>3</v>
      </c>
      <c r="I24" s="96">
        <v>10977</v>
      </c>
      <c r="J24" s="98">
        <v>3</v>
      </c>
      <c r="K24" s="96">
        <v>7482</v>
      </c>
      <c r="L24" s="98">
        <v>7</v>
      </c>
      <c r="M24" s="96">
        <v>10398</v>
      </c>
      <c r="N24" s="95" t="s">
        <v>51</v>
      </c>
      <c r="O24" s="95" t="s">
        <v>51</v>
      </c>
    </row>
    <row r="25" spans="1:15" s="99" customFormat="1" ht="9.75" customHeight="1" x14ac:dyDescent="0.25">
      <c r="A25" s="94" t="s">
        <v>69</v>
      </c>
      <c r="B25" s="98">
        <v>24</v>
      </c>
      <c r="C25" s="96">
        <v>276662</v>
      </c>
      <c r="D25" s="98">
        <v>28</v>
      </c>
      <c r="E25" s="96">
        <v>646557</v>
      </c>
      <c r="F25" s="98">
        <v>29</v>
      </c>
      <c r="G25" s="96">
        <v>581460</v>
      </c>
      <c r="H25" s="98">
        <v>34</v>
      </c>
      <c r="I25" s="96">
        <v>489525</v>
      </c>
      <c r="J25" s="98">
        <v>32</v>
      </c>
      <c r="K25" s="96">
        <v>655287</v>
      </c>
      <c r="L25" s="98">
        <v>40</v>
      </c>
      <c r="M25" s="96">
        <v>511609</v>
      </c>
      <c r="N25" s="98">
        <v>38</v>
      </c>
      <c r="O25" s="96">
        <v>326680</v>
      </c>
    </row>
    <row r="26" spans="1:15" s="99" customFormat="1" ht="9.75" customHeight="1" x14ac:dyDescent="0.25">
      <c r="A26" s="94" t="s">
        <v>70</v>
      </c>
      <c r="B26" s="95" t="s">
        <v>51</v>
      </c>
      <c r="C26" s="96" t="s">
        <v>51</v>
      </c>
      <c r="D26" s="95" t="s">
        <v>51</v>
      </c>
      <c r="E26" s="96" t="s">
        <v>51</v>
      </c>
      <c r="F26" s="98">
        <v>1</v>
      </c>
      <c r="G26" s="96">
        <v>84</v>
      </c>
      <c r="H26" s="97" t="s">
        <v>51</v>
      </c>
      <c r="I26" s="96" t="s">
        <v>51</v>
      </c>
      <c r="J26" s="97">
        <v>2</v>
      </c>
      <c r="K26" s="96">
        <v>569</v>
      </c>
      <c r="L26" s="98">
        <v>3</v>
      </c>
      <c r="M26" s="96">
        <v>10560</v>
      </c>
      <c r="N26" s="98">
        <v>5</v>
      </c>
      <c r="O26" s="96">
        <v>636</v>
      </c>
    </row>
    <row r="27" spans="1:15" s="99" customFormat="1" ht="9.75" customHeight="1" x14ac:dyDescent="0.25">
      <c r="A27" s="94" t="s">
        <v>71</v>
      </c>
      <c r="B27" s="95" t="s">
        <v>51</v>
      </c>
      <c r="C27" s="96" t="s">
        <v>51</v>
      </c>
      <c r="D27" s="98">
        <v>1</v>
      </c>
      <c r="E27" s="96">
        <v>1385</v>
      </c>
      <c r="F27" s="95">
        <v>3</v>
      </c>
      <c r="G27" s="96">
        <v>1321</v>
      </c>
      <c r="H27" s="97" t="s">
        <v>51</v>
      </c>
      <c r="I27" s="96" t="s">
        <v>51</v>
      </c>
      <c r="J27" s="96" t="s">
        <v>51</v>
      </c>
      <c r="K27" s="96" t="s">
        <v>51</v>
      </c>
      <c r="L27" s="98">
        <v>1</v>
      </c>
      <c r="M27" s="96">
        <v>718</v>
      </c>
      <c r="N27" s="98">
        <v>1</v>
      </c>
      <c r="O27" s="96">
        <v>965</v>
      </c>
    </row>
    <row r="28" spans="1:15" s="99" customFormat="1" ht="9.75" customHeight="1" x14ac:dyDescent="0.25">
      <c r="A28" s="94" t="s">
        <v>72</v>
      </c>
      <c r="B28" s="98">
        <v>1</v>
      </c>
      <c r="C28" s="96">
        <v>486</v>
      </c>
      <c r="D28" s="95" t="s">
        <v>51</v>
      </c>
      <c r="E28" s="96" t="s">
        <v>51</v>
      </c>
      <c r="F28" s="96" t="s">
        <v>51</v>
      </c>
      <c r="G28" s="96" t="s">
        <v>51</v>
      </c>
      <c r="H28" s="95">
        <v>1</v>
      </c>
      <c r="I28" s="96">
        <v>317</v>
      </c>
      <c r="J28" s="96" t="s">
        <v>51</v>
      </c>
      <c r="K28" s="96" t="s">
        <v>51</v>
      </c>
      <c r="L28" s="98">
        <v>1</v>
      </c>
      <c r="M28" s="96">
        <v>1033</v>
      </c>
      <c r="N28" s="95" t="s">
        <v>51</v>
      </c>
      <c r="O28" s="95" t="s">
        <v>51</v>
      </c>
    </row>
    <row r="29" spans="1:15" s="99" customFormat="1" ht="9.75" customHeight="1" x14ac:dyDescent="0.25">
      <c r="A29" s="94" t="s">
        <v>73</v>
      </c>
      <c r="B29" s="98">
        <v>2</v>
      </c>
      <c r="C29" s="96">
        <v>66438</v>
      </c>
      <c r="D29" s="95" t="s">
        <v>51</v>
      </c>
      <c r="E29" s="96" t="s">
        <v>51</v>
      </c>
      <c r="F29" s="95">
        <v>2</v>
      </c>
      <c r="G29" s="96">
        <v>3034</v>
      </c>
      <c r="H29" s="97" t="s">
        <v>51</v>
      </c>
      <c r="I29" s="96" t="s">
        <v>51</v>
      </c>
      <c r="J29" s="97">
        <v>10</v>
      </c>
      <c r="K29" s="96">
        <v>1950</v>
      </c>
      <c r="L29" s="98">
        <v>14</v>
      </c>
      <c r="M29" s="96">
        <v>3789</v>
      </c>
      <c r="N29" s="98">
        <v>16</v>
      </c>
      <c r="O29" s="96">
        <v>14833</v>
      </c>
    </row>
    <row r="30" spans="1:15" s="99" customFormat="1" ht="9.75" customHeight="1" x14ac:dyDescent="0.25">
      <c r="A30" s="94" t="s">
        <v>74</v>
      </c>
      <c r="B30" s="98">
        <v>2</v>
      </c>
      <c r="C30" s="96">
        <v>15352</v>
      </c>
      <c r="D30" s="98">
        <v>5</v>
      </c>
      <c r="E30" s="96">
        <v>76978</v>
      </c>
      <c r="F30" s="98">
        <v>2</v>
      </c>
      <c r="G30" s="96">
        <v>18328</v>
      </c>
      <c r="H30" s="98">
        <v>4</v>
      </c>
      <c r="I30" s="96">
        <v>29670</v>
      </c>
      <c r="J30" s="98">
        <v>4</v>
      </c>
      <c r="K30" s="96">
        <v>41574</v>
      </c>
      <c r="L30" s="98">
        <v>3</v>
      </c>
      <c r="M30" s="96">
        <v>17785</v>
      </c>
      <c r="N30" s="98">
        <v>2</v>
      </c>
      <c r="O30" s="96">
        <v>8694</v>
      </c>
    </row>
    <row r="31" spans="1:15" s="99" customFormat="1" ht="9.75" customHeight="1" x14ac:dyDescent="0.25">
      <c r="A31" s="94" t="s">
        <v>75</v>
      </c>
      <c r="B31" s="98">
        <v>2</v>
      </c>
      <c r="C31" s="96">
        <v>3798</v>
      </c>
      <c r="D31" s="98">
        <v>7</v>
      </c>
      <c r="E31" s="96">
        <v>60085</v>
      </c>
      <c r="F31" s="98">
        <v>8</v>
      </c>
      <c r="G31" s="96">
        <v>12110</v>
      </c>
      <c r="H31" s="98">
        <v>5</v>
      </c>
      <c r="I31" s="96">
        <v>3968</v>
      </c>
      <c r="J31" s="98">
        <v>5</v>
      </c>
      <c r="K31" s="96">
        <v>30039</v>
      </c>
      <c r="L31" s="98">
        <v>4</v>
      </c>
      <c r="M31" s="96">
        <v>135848</v>
      </c>
      <c r="N31" s="98">
        <v>3</v>
      </c>
      <c r="O31" s="96">
        <v>3389</v>
      </c>
    </row>
    <row r="32" spans="1:15" s="99" customFormat="1" ht="9.75" customHeight="1" x14ac:dyDescent="0.25">
      <c r="A32" s="94" t="s">
        <v>76</v>
      </c>
      <c r="B32" s="98">
        <v>1</v>
      </c>
      <c r="C32" s="96">
        <v>15130</v>
      </c>
      <c r="D32" s="95" t="s">
        <v>51</v>
      </c>
      <c r="E32" s="96" t="s">
        <v>51</v>
      </c>
      <c r="F32" s="96" t="s">
        <v>51</v>
      </c>
      <c r="G32" s="96" t="s">
        <v>51</v>
      </c>
      <c r="H32" s="97" t="s">
        <v>51</v>
      </c>
      <c r="I32" s="96" t="s">
        <v>51</v>
      </c>
      <c r="J32" s="97">
        <v>2</v>
      </c>
      <c r="K32" s="96">
        <v>3271</v>
      </c>
      <c r="L32" s="96" t="s">
        <v>51</v>
      </c>
      <c r="M32" s="96" t="s">
        <v>51</v>
      </c>
      <c r="N32" s="95" t="s">
        <v>51</v>
      </c>
      <c r="O32" s="95" t="s">
        <v>51</v>
      </c>
    </row>
    <row r="33" spans="1:17" s="99" customFormat="1" ht="9.75" customHeight="1" x14ac:dyDescent="0.25">
      <c r="A33" s="94" t="s">
        <v>77</v>
      </c>
      <c r="B33" s="96" t="s">
        <v>51</v>
      </c>
      <c r="C33" s="96" t="s">
        <v>51</v>
      </c>
      <c r="D33" s="96" t="s">
        <v>51</v>
      </c>
      <c r="E33" s="96" t="s">
        <v>51</v>
      </c>
      <c r="F33" s="96" t="s">
        <v>51</v>
      </c>
      <c r="G33" s="96" t="s">
        <v>51</v>
      </c>
      <c r="H33" s="96" t="s">
        <v>51</v>
      </c>
      <c r="I33" s="96" t="s">
        <v>51</v>
      </c>
      <c r="J33" s="96" t="s">
        <v>51</v>
      </c>
      <c r="K33" s="96" t="s">
        <v>51</v>
      </c>
      <c r="L33" s="98">
        <v>1</v>
      </c>
      <c r="M33" s="96">
        <v>5903</v>
      </c>
      <c r="N33" s="95" t="s">
        <v>51</v>
      </c>
      <c r="O33" s="95" t="s">
        <v>51</v>
      </c>
    </row>
    <row r="34" spans="1:17" s="99" customFormat="1" ht="9.75" customHeight="1" x14ac:dyDescent="0.25">
      <c r="A34" s="94" t="s">
        <v>78</v>
      </c>
      <c r="B34" s="98">
        <v>8</v>
      </c>
      <c r="C34" s="96">
        <v>58585</v>
      </c>
      <c r="D34" s="98">
        <v>3</v>
      </c>
      <c r="E34" s="96">
        <v>52713</v>
      </c>
      <c r="F34" s="98">
        <v>3</v>
      </c>
      <c r="G34" s="96">
        <v>23099</v>
      </c>
      <c r="H34" s="98">
        <v>10</v>
      </c>
      <c r="I34" s="96">
        <v>125640</v>
      </c>
      <c r="J34" s="98">
        <v>3</v>
      </c>
      <c r="K34" s="96">
        <v>4212</v>
      </c>
      <c r="L34" s="98">
        <v>6</v>
      </c>
      <c r="M34" s="96">
        <v>30801</v>
      </c>
      <c r="N34" s="98">
        <v>6</v>
      </c>
      <c r="O34" s="96">
        <v>44171</v>
      </c>
    </row>
    <row r="35" spans="1:17" s="99" customFormat="1" ht="9.75" customHeight="1" x14ac:dyDescent="0.25">
      <c r="A35" s="94" t="s">
        <v>79</v>
      </c>
      <c r="B35" s="98">
        <v>3</v>
      </c>
      <c r="C35" s="96">
        <v>934</v>
      </c>
      <c r="D35" s="95" t="s">
        <v>51</v>
      </c>
      <c r="E35" s="96" t="s">
        <v>51</v>
      </c>
      <c r="F35" s="96" t="s">
        <v>51</v>
      </c>
      <c r="G35" s="96" t="s">
        <v>51</v>
      </c>
      <c r="H35" s="95">
        <v>1</v>
      </c>
      <c r="I35" s="96">
        <v>5489</v>
      </c>
      <c r="J35" s="96" t="s">
        <v>51</v>
      </c>
      <c r="K35" s="96" t="s">
        <v>51</v>
      </c>
      <c r="L35" s="96" t="s">
        <v>51</v>
      </c>
      <c r="M35" s="96" t="s">
        <v>51</v>
      </c>
      <c r="N35" s="95" t="s">
        <v>51</v>
      </c>
      <c r="O35" s="95" t="s">
        <v>51</v>
      </c>
    </row>
    <row r="36" spans="1:17" s="99" customFormat="1" ht="9.75" customHeight="1" x14ac:dyDescent="0.25">
      <c r="A36" s="94" t="s">
        <v>80</v>
      </c>
      <c r="B36" s="98">
        <v>12</v>
      </c>
      <c r="C36" s="96">
        <v>71278</v>
      </c>
      <c r="D36" s="98">
        <v>20</v>
      </c>
      <c r="E36" s="96">
        <v>142277</v>
      </c>
      <c r="F36" s="98">
        <v>31</v>
      </c>
      <c r="G36" s="96">
        <v>126194</v>
      </c>
      <c r="H36" s="98">
        <v>31</v>
      </c>
      <c r="I36" s="96">
        <v>107772</v>
      </c>
      <c r="J36" s="98">
        <v>27</v>
      </c>
      <c r="K36" s="96">
        <v>140987</v>
      </c>
      <c r="L36" s="98">
        <v>26</v>
      </c>
      <c r="M36" s="96">
        <v>93112</v>
      </c>
      <c r="N36" s="98">
        <v>26</v>
      </c>
      <c r="O36" s="96">
        <v>96403</v>
      </c>
    </row>
    <row r="37" spans="1:17" s="92" customFormat="1" ht="9.75" customHeight="1" x14ac:dyDescent="0.25">
      <c r="A37" s="94" t="s">
        <v>81</v>
      </c>
      <c r="B37" s="98">
        <v>2</v>
      </c>
      <c r="C37" s="96">
        <v>7283</v>
      </c>
      <c r="D37" s="95" t="s">
        <v>51</v>
      </c>
      <c r="E37" s="96" t="s">
        <v>51</v>
      </c>
      <c r="F37" s="95">
        <v>1</v>
      </c>
      <c r="G37" s="96">
        <v>493</v>
      </c>
      <c r="H37" s="95">
        <v>1</v>
      </c>
      <c r="I37" s="96">
        <v>2962</v>
      </c>
      <c r="J37" s="95">
        <v>1</v>
      </c>
      <c r="K37" s="96">
        <v>2839</v>
      </c>
      <c r="L37" s="98">
        <v>1</v>
      </c>
      <c r="M37" s="96">
        <v>199</v>
      </c>
      <c r="N37" s="98">
        <v>1</v>
      </c>
      <c r="O37" s="96">
        <v>565</v>
      </c>
    </row>
    <row r="38" spans="1:17" s="92" customFormat="1" ht="9.75" customHeight="1" x14ac:dyDescent="0.25">
      <c r="A38" s="94" t="s">
        <v>82</v>
      </c>
      <c r="B38" s="98">
        <v>18</v>
      </c>
      <c r="C38" s="96">
        <v>740559</v>
      </c>
      <c r="D38" s="98">
        <v>13</v>
      </c>
      <c r="E38" s="96">
        <v>436135</v>
      </c>
      <c r="F38" s="98">
        <v>23</v>
      </c>
      <c r="G38" s="96">
        <v>1288239</v>
      </c>
      <c r="H38" s="98">
        <v>18</v>
      </c>
      <c r="I38" s="96">
        <v>462981</v>
      </c>
      <c r="J38" s="98">
        <v>30</v>
      </c>
      <c r="K38" s="96">
        <v>598590</v>
      </c>
      <c r="L38" s="98">
        <v>24</v>
      </c>
      <c r="M38" s="96">
        <v>388575</v>
      </c>
      <c r="N38" s="98">
        <v>20</v>
      </c>
      <c r="O38" s="96">
        <v>280867</v>
      </c>
    </row>
    <row r="39" spans="1:17" s="99" customFormat="1" ht="9.75" customHeight="1" x14ac:dyDescent="0.25">
      <c r="A39" s="86" t="s">
        <v>83</v>
      </c>
      <c r="B39" s="87">
        <v>4</v>
      </c>
      <c r="C39" s="88">
        <v>23547</v>
      </c>
      <c r="D39" s="87" t="s">
        <v>51</v>
      </c>
      <c r="E39" s="88" t="s">
        <v>51</v>
      </c>
      <c r="F39" s="88" t="s">
        <v>51</v>
      </c>
      <c r="G39" s="88" t="s">
        <v>51</v>
      </c>
      <c r="H39" s="100">
        <v>2</v>
      </c>
      <c r="I39" s="88">
        <v>1938</v>
      </c>
      <c r="J39" s="96" t="s">
        <v>51</v>
      </c>
      <c r="K39" s="96" t="s">
        <v>51</v>
      </c>
      <c r="L39" s="100">
        <v>1</v>
      </c>
      <c r="M39" s="88">
        <v>354</v>
      </c>
      <c r="N39" s="88">
        <v>5</v>
      </c>
      <c r="O39" s="88">
        <v>44294</v>
      </c>
      <c r="P39" s="101"/>
    </row>
    <row r="40" spans="1:17" s="99" customFormat="1" ht="9.75" customHeight="1" x14ac:dyDescent="0.25">
      <c r="A40" s="102" t="s">
        <v>84</v>
      </c>
      <c r="B40" s="103" t="s">
        <v>51</v>
      </c>
      <c r="C40" s="103" t="s">
        <v>51</v>
      </c>
      <c r="D40" s="103" t="s">
        <v>51</v>
      </c>
      <c r="E40" s="103" t="s">
        <v>51</v>
      </c>
      <c r="F40" s="103" t="s">
        <v>51</v>
      </c>
      <c r="G40" s="103" t="s">
        <v>51</v>
      </c>
      <c r="H40" s="103" t="s">
        <v>51</v>
      </c>
      <c r="I40" s="103" t="s">
        <v>51</v>
      </c>
      <c r="J40" s="103" t="s">
        <v>51</v>
      </c>
      <c r="K40" s="103" t="s">
        <v>51</v>
      </c>
      <c r="L40" s="97">
        <v>1</v>
      </c>
      <c r="M40" s="96">
        <v>354</v>
      </c>
      <c r="N40" s="96" t="s">
        <v>51</v>
      </c>
      <c r="O40" s="96" t="s">
        <v>51</v>
      </c>
      <c r="P40" s="101"/>
    </row>
    <row r="41" spans="1:17" s="99" customFormat="1" ht="9.75" customHeight="1" x14ac:dyDescent="0.25">
      <c r="A41" s="104" t="s">
        <v>85</v>
      </c>
      <c r="B41" s="103" t="s">
        <v>51</v>
      </c>
      <c r="C41" s="103" t="s">
        <v>51</v>
      </c>
      <c r="D41" s="103" t="s">
        <v>51</v>
      </c>
      <c r="E41" s="103" t="s">
        <v>51</v>
      </c>
      <c r="F41" s="103" t="s">
        <v>51</v>
      </c>
      <c r="G41" s="103" t="s">
        <v>51</v>
      </c>
      <c r="H41" s="95">
        <v>1</v>
      </c>
      <c r="I41" s="96">
        <v>893</v>
      </c>
      <c r="J41" s="96" t="s">
        <v>51</v>
      </c>
      <c r="K41" s="96" t="s">
        <v>51</v>
      </c>
      <c r="L41" s="96" t="s">
        <v>51</v>
      </c>
      <c r="M41" s="96" t="s">
        <v>51</v>
      </c>
      <c r="N41" s="96" t="s">
        <v>51</v>
      </c>
      <c r="O41" s="96" t="s">
        <v>51</v>
      </c>
    </row>
    <row r="42" spans="1:17" s="99" customFormat="1" ht="9.75" customHeight="1" x14ac:dyDescent="0.25">
      <c r="A42" s="94" t="s">
        <v>86</v>
      </c>
      <c r="B42" s="95">
        <v>1</v>
      </c>
      <c r="C42" s="96">
        <v>1922</v>
      </c>
      <c r="D42" s="95" t="s">
        <v>51</v>
      </c>
      <c r="E42" s="95" t="s">
        <v>51</v>
      </c>
      <c r="F42" s="96" t="s">
        <v>51</v>
      </c>
      <c r="G42" s="96" t="s">
        <v>51</v>
      </c>
      <c r="H42" s="96" t="s">
        <v>51</v>
      </c>
      <c r="I42" s="96" t="s">
        <v>51</v>
      </c>
      <c r="J42" s="96" t="s">
        <v>51</v>
      </c>
      <c r="K42" s="96" t="s">
        <v>51</v>
      </c>
      <c r="L42" s="96" t="s">
        <v>51</v>
      </c>
      <c r="M42" s="96" t="s">
        <v>51</v>
      </c>
      <c r="N42" s="96" t="s">
        <v>51</v>
      </c>
      <c r="O42" s="96" t="s">
        <v>51</v>
      </c>
    </row>
    <row r="43" spans="1:17" s="99" customFormat="1" ht="9.75" customHeight="1" x14ac:dyDescent="0.25">
      <c r="A43" s="94" t="s">
        <v>87</v>
      </c>
      <c r="B43" s="95">
        <v>2</v>
      </c>
      <c r="C43" s="96">
        <v>12130</v>
      </c>
      <c r="D43" s="95" t="s">
        <v>51</v>
      </c>
      <c r="E43" s="95" t="s">
        <v>51</v>
      </c>
      <c r="F43" s="96" t="s">
        <v>51</v>
      </c>
      <c r="G43" s="96" t="s">
        <v>51</v>
      </c>
      <c r="H43" s="96" t="s">
        <v>51</v>
      </c>
      <c r="I43" s="96" t="s">
        <v>51</v>
      </c>
      <c r="J43" s="96" t="s">
        <v>51</v>
      </c>
      <c r="K43" s="96" t="s">
        <v>51</v>
      </c>
      <c r="L43" s="96" t="s">
        <v>51</v>
      </c>
      <c r="M43" s="96" t="s">
        <v>51</v>
      </c>
      <c r="N43" s="96" t="s">
        <v>51</v>
      </c>
      <c r="O43" s="96" t="s">
        <v>51</v>
      </c>
    </row>
    <row r="44" spans="1:17" s="92" customFormat="1" ht="9.75" customHeight="1" x14ac:dyDescent="0.25">
      <c r="A44" s="94" t="s">
        <v>88</v>
      </c>
      <c r="B44" s="95">
        <v>1</v>
      </c>
      <c r="C44" s="96">
        <v>9495</v>
      </c>
      <c r="D44" s="95" t="s">
        <v>51</v>
      </c>
      <c r="E44" s="95" t="s">
        <v>51</v>
      </c>
      <c r="F44" s="96" t="s">
        <v>51</v>
      </c>
      <c r="G44" s="96" t="s">
        <v>51</v>
      </c>
      <c r="H44" s="96" t="s">
        <v>51</v>
      </c>
      <c r="I44" s="96" t="s">
        <v>51</v>
      </c>
      <c r="J44" s="96" t="s">
        <v>51</v>
      </c>
      <c r="K44" s="96" t="s">
        <v>51</v>
      </c>
      <c r="L44" s="96" t="s">
        <v>51</v>
      </c>
      <c r="M44" s="96" t="s">
        <v>51</v>
      </c>
      <c r="N44" s="98">
        <v>5</v>
      </c>
      <c r="O44" s="96">
        <v>44294</v>
      </c>
    </row>
    <row r="45" spans="1:17" s="99" customFormat="1" ht="9.75" customHeight="1" x14ac:dyDescent="0.25">
      <c r="A45" s="94" t="s">
        <v>89</v>
      </c>
      <c r="B45" s="95" t="s">
        <v>51</v>
      </c>
      <c r="C45" s="95" t="s">
        <v>51</v>
      </c>
      <c r="D45" s="95" t="s">
        <v>51</v>
      </c>
      <c r="E45" s="95" t="s">
        <v>51</v>
      </c>
      <c r="F45" s="95" t="s">
        <v>51</v>
      </c>
      <c r="G45" s="95" t="s">
        <v>51</v>
      </c>
      <c r="H45" s="95">
        <v>1</v>
      </c>
      <c r="I45" s="96">
        <v>1045</v>
      </c>
      <c r="J45" s="96" t="s">
        <v>51</v>
      </c>
      <c r="K45" s="96" t="s">
        <v>51</v>
      </c>
      <c r="L45" s="96" t="s">
        <v>51</v>
      </c>
      <c r="M45" s="96" t="s">
        <v>51</v>
      </c>
      <c r="N45" s="96" t="s">
        <v>51</v>
      </c>
      <c r="O45" s="96" t="s">
        <v>51</v>
      </c>
    </row>
    <row r="46" spans="1:17" s="99" customFormat="1" ht="9.75" customHeight="1" x14ac:dyDescent="0.25">
      <c r="A46" s="86" t="s">
        <v>90</v>
      </c>
      <c r="B46" s="87">
        <v>125</v>
      </c>
      <c r="C46" s="88">
        <v>11046535</v>
      </c>
      <c r="D46" s="87">
        <v>124</v>
      </c>
      <c r="E46" s="88">
        <v>11926922</v>
      </c>
      <c r="F46" s="87">
        <v>141</v>
      </c>
      <c r="G46" s="88">
        <v>10157280</v>
      </c>
      <c r="H46" s="87">
        <v>154</v>
      </c>
      <c r="I46" s="88">
        <v>11221390</v>
      </c>
      <c r="J46" s="92">
        <v>144</v>
      </c>
      <c r="K46" s="93">
        <v>9830470</v>
      </c>
      <c r="L46" s="92">
        <v>146</v>
      </c>
      <c r="M46" s="93">
        <v>9156290</v>
      </c>
      <c r="N46" s="92">
        <v>162</v>
      </c>
      <c r="O46" s="93">
        <v>10031917</v>
      </c>
      <c r="Q46" s="101"/>
    </row>
    <row r="47" spans="1:17" s="99" customFormat="1" ht="9.75" customHeight="1" x14ac:dyDescent="0.25">
      <c r="A47" s="94" t="s">
        <v>91</v>
      </c>
      <c r="B47" s="98">
        <v>5</v>
      </c>
      <c r="C47" s="96">
        <v>8872</v>
      </c>
      <c r="D47" s="98">
        <v>2</v>
      </c>
      <c r="E47" s="96">
        <v>4666</v>
      </c>
      <c r="F47" s="95">
        <v>2</v>
      </c>
      <c r="G47" s="96">
        <v>18724</v>
      </c>
      <c r="H47" s="95">
        <v>3</v>
      </c>
      <c r="I47" s="96">
        <v>14447</v>
      </c>
      <c r="J47" s="95">
        <v>2</v>
      </c>
      <c r="K47" s="96">
        <v>7848</v>
      </c>
      <c r="L47" s="95">
        <v>3</v>
      </c>
      <c r="M47" s="96">
        <v>3082</v>
      </c>
      <c r="N47" s="98">
        <v>1</v>
      </c>
      <c r="O47" s="96">
        <v>773</v>
      </c>
    </row>
    <row r="48" spans="1:17" s="99" customFormat="1" ht="9.75" customHeight="1" x14ac:dyDescent="0.25">
      <c r="A48" s="94" t="s">
        <v>92</v>
      </c>
      <c r="B48" s="92" t="s">
        <v>51</v>
      </c>
      <c r="C48" s="92" t="s">
        <v>51</v>
      </c>
      <c r="D48" s="92" t="s">
        <v>51</v>
      </c>
      <c r="E48" s="92" t="s">
        <v>51</v>
      </c>
      <c r="F48" s="95">
        <v>1</v>
      </c>
      <c r="G48" s="96">
        <v>4093</v>
      </c>
      <c r="H48" s="95">
        <v>1</v>
      </c>
      <c r="I48" s="96">
        <v>1572</v>
      </c>
      <c r="J48" s="96" t="s">
        <v>51</v>
      </c>
      <c r="K48" s="96" t="s">
        <v>51</v>
      </c>
      <c r="L48" s="96" t="s">
        <v>51</v>
      </c>
      <c r="M48" s="96" t="s">
        <v>51</v>
      </c>
      <c r="N48" s="98">
        <v>1</v>
      </c>
      <c r="O48" s="96">
        <v>235</v>
      </c>
    </row>
    <row r="49" spans="1:17" s="99" customFormat="1" ht="9.75" customHeight="1" x14ac:dyDescent="0.25">
      <c r="A49" s="94" t="s">
        <v>93</v>
      </c>
      <c r="B49" s="98">
        <v>1</v>
      </c>
      <c r="C49" s="96">
        <v>3233</v>
      </c>
      <c r="D49" s="95" t="s">
        <v>51</v>
      </c>
      <c r="E49" s="96" t="s">
        <v>51</v>
      </c>
      <c r="F49" s="96" t="s">
        <v>51</v>
      </c>
      <c r="G49" s="96" t="s">
        <v>51</v>
      </c>
      <c r="H49" s="97" t="s">
        <v>51</v>
      </c>
      <c r="I49" s="96" t="s">
        <v>51</v>
      </c>
      <c r="J49" s="97">
        <v>2</v>
      </c>
      <c r="K49" s="96">
        <v>8682</v>
      </c>
      <c r="L49" s="96" t="s">
        <v>51</v>
      </c>
      <c r="M49" s="96" t="s">
        <v>51</v>
      </c>
      <c r="N49" s="98">
        <v>1</v>
      </c>
      <c r="O49" s="96">
        <v>8211</v>
      </c>
    </row>
    <row r="50" spans="1:17" s="99" customFormat="1" ht="9.75" customHeight="1" x14ac:dyDescent="0.25">
      <c r="A50" s="94" t="s">
        <v>94</v>
      </c>
      <c r="B50" s="95" t="s">
        <v>51</v>
      </c>
      <c r="C50" s="95" t="s">
        <v>51</v>
      </c>
      <c r="D50" s="95" t="s">
        <v>51</v>
      </c>
      <c r="E50" s="95" t="s">
        <v>51</v>
      </c>
      <c r="F50" s="95" t="s">
        <v>51</v>
      </c>
      <c r="G50" s="95" t="s">
        <v>51</v>
      </c>
      <c r="H50" s="95">
        <v>1</v>
      </c>
      <c r="I50" s="96">
        <v>1243</v>
      </c>
      <c r="J50" s="96" t="s">
        <v>51</v>
      </c>
      <c r="K50" s="96" t="s">
        <v>51</v>
      </c>
      <c r="L50" s="96" t="s">
        <v>51</v>
      </c>
      <c r="M50" s="96" t="s">
        <v>51</v>
      </c>
      <c r="N50" s="96" t="s">
        <v>51</v>
      </c>
      <c r="O50" s="96" t="s">
        <v>51</v>
      </c>
    </row>
    <row r="51" spans="1:17" s="99" customFormat="1" ht="9.75" customHeight="1" x14ac:dyDescent="0.25">
      <c r="A51" s="94" t="s">
        <v>95</v>
      </c>
      <c r="B51" s="98">
        <v>5</v>
      </c>
      <c r="C51" s="96">
        <v>31018</v>
      </c>
      <c r="D51" s="98">
        <v>1</v>
      </c>
      <c r="E51" s="96">
        <v>2887</v>
      </c>
      <c r="F51" s="98">
        <v>2</v>
      </c>
      <c r="G51" s="96">
        <v>685</v>
      </c>
      <c r="H51" s="98">
        <v>3</v>
      </c>
      <c r="I51" s="96">
        <v>2661</v>
      </c>
      <c r="J51" s="98">
        <v>3</v>
      </c>
      <c r="K51" s="96">
        <v>41162</v>
      </c>
      <c r="L51" s="95">
        <v>3</v>
      </c>
      <c r="M51" s="96">
        <v>70518</v>
      </c>
      <c r="N51" s="98">
        <v>1</v>
      </c>
      <c r="O51" s="96">
        <v>5367</v>
      </c>
    </row>
    <row r="52" spans="1:17" s="99" customFormat="1" ht="9.75" customHeight="1" x14ac:dyDescent="0.25">
      <c r="A52" s="94" t="s">
        <v>96</v>
      </c>
      <c r="B52" s="95" t="s">
        <v>51</v>
      </c>
      <c r="C52" s="95" t="s">
        <v>51</v>
      </c>
      <c r="D52" s="95" t="s">
        <v>51</v>
      </c>
      <c r="E52" s="95" t="s">
        <v>51</v>
      </c>
      <c r="F52" s="95" t="s">
        <v>51</v>
      </c>
      <c r="G52" s="95" t="s">
        <v>51</v>
      </c>
      <c r="H52" s="98">
        <v>1</v>
      </c>
      <c r="I52" s="96">
        <v>6778</v>
      </c>
      <c r="J52" s="96" t="s">
        <v>51</v>
      </c>
      <c r="K52" s="96" t="s">
        <v>51</v>
      </c>
      <c r="L52" s="95">
        <v>1</v>
      </c>
      <c r="M52" s="96">
        <v>3298</v>
      </c>
      <c r="N52" s="98">
        <v>2</v>
      </c>
      <c r="O52" s="96">
        <v>4756</v>
      </c>
    </row>
    <row r="53" spans="1:17" s="99" customFormat="1" ht="9.75" customHeight="1" x14ac:dyDescent="0.25">
      <c r="A53" s="94" t="s">
        <v>97</v>
      </c>
      <c r="B53" s="98">
        <v>1</v>
      </c>
      <c r="C53" s="96">
        <v>4084</v>
      </c>
      <c r="D53" s="98">
        <v>2</v>
      </c>
      <c r="E53" s="96">
        <v>8804</v>
      </c>
      <c r="F53" s="96" t="s">
        <v>51</v>
      </c>
      <c r="G53" s="96" t="s">
        <v>51</v>
      </c>
      <c r="H53" s="97" t="s">
        <v>51</v>
      </c>
      <c r="I53" s="96" t="s">
        <v>51</v>
      </c>
      <c r="J53" s="96" t="s">
        <v>51</v>
      </c>
      <c r="K53" s="96" t="s">
        <v>51</v>
      </c>
      <c r="L53" s="96" t="s">
        <v>51</v>
      </c>
      <c r="M53" s="96" t="s">
        <v>51</v>
      </c>
      <c r="N53" s="98">
        <v>1</v>
      </c>
      <c r="O53" s="96">
        <v>210</v>
      </c>
    </row>
    <row r="54" spans="1:17" s="99" customFormat="1" ht="9.75" customHeight="1" x14ac:dyDescent="0.25">
      <c r="A54" s="94" t="s">
        <v>98</v>
      </c>
      <c r="B54" s="98">
        <v>1</v>
      </c>
      <c r="C54" s="96">
        <v>4090</v>
      </c>
      <c r="D54" s="95" t="s">
        <v>51</v>
      </c>
      <c r="E54" s="96" t="s">
        <v>51</v>
      </c>
      <c r="F54" s="95">
        <v>1</v>
      </c>
      <c r="G54" s="96">
        <v>2546</v>
      </c>
      <c r="H54" s="97" t="s">
        <v>51</v>
      </c>
      <c r="I54" s="96" t="s">
        <v>51</v>
      </c>
      <c r="J54" s="96" t="s">
        <v>51</v>
      </c>
      <c r="K54" s="96" t="s">
        <v>51</v>
      </c>
      <c r="L54" s="96" t="s">
        <v>51</v>
      </c>
      <c r="M54" s="96" t="s">
        <v>51</v>
      </c>
      <c r="N54" s="96" t="s">
        <v>51</v>
      </c>
      <c r="O54" s="96" t="s">
        <v>51</v>
      </c>
    </row>
    <row r="55" spans="1:17" s="87" customFormat="1" ht="9.75" customHeight="1" x14ac:dyDescent="0.25">
      <c r="A55" s="94" t="s">
        <v>99</v>
      </c>
      <c r="B55" s="98">
        <v>112</v>
      </c>
      <c r="C55" s="96">
        <v>10995238</v>
      </c>
      <c r="D55" s="98">
        <v>119</v>
      </c>
      <c r="E55" s="96">
        <v>11910565</v>
      </c>
      <c r="F55" s="98">
        <v>135</v>
      </c>
      <c r="G55" s="96">
        <v>10131232</v>
      </c>
      <c r="H55" s="98">
        <v>144</v>
      </c>
      <c r="I55" s="96">
        <v>11193406</v>
      </c>
      <c r="J55" s="98">
        <v>137</v>
      </c>
      <c r="K55" s="96">
        <v>9772778</v>
      </c>
      <c r="L55" s="95">
        <v>139</v>
      </c>
      <c r="M55" s="96">
        <v>9079392</v>
      </c>
      <c r="N55" s="98">
        <v>155</v>
      </c>
      <c r="O55" s="96">
        <v>10012365</v>
      </c>
    </row>
    <row r="56" spans="1:17" s="99" customFormat="1" ht="9.75" customHeight="1" x14ac:dyDescent="0.25">
      <c r="A56" s="94" t="s">
        <v>100</v>
      </c>
      <c r="B56" s="95" t="s">
        <v>51</v>
      </c>
      <c r="C56" s="95" t="s">
        <v>51</v>
      </c>
      <c r="D56" s="95" t="s">
        <v>51</v>
      </c>
      <c r="E56" s="95" t="s">
        <v>51</v>
      </c>
      <c r="F56" s="95" t="s">
        <v>51</v>
      </c>
      <c r="G56" s="95" t="s">
        <v>51</v>
      </c>
      <c r="H56" s="98">
        <v>1</v>
      </c>
      <c r="I56" s="96">
        <v>1283</v>
      </c>
      <c r="J56" s="96" t="s">
        <v>51</v>
      </c>
      <c r="K56" s="96" t="s">
        <v>51</v>
      </c>
      <c r="L56" s="96" t="s">
        <v>51</v>
      </c>
      <c r="M56" s="96" t="s">
        <v>51</v>
      </c>
      <c r="N56" s="96" t="s">
        <v>51</v>
      </c>
      <c r="O56" s="96" t="s">
        <v>51</v>
      </c>
    </row>
    <row r="57" spans="1:17" s="99" customFormat="1" ht="9.75" customHeight="1" x14ac:dyDescent="0.25">
      <c r="A57" s="86" t="s">
        <v>101</v>
      </c>
      <c r="B57" s="87">
        <v>14</v>
      </c>
      <c r="C57" s="88">
        <v>146402</v>
      </c>
      <c r="D57" s="87">
        <v>8</v>
      </c>
      <c r="E57" s="88">
        <v>26765</v>
      </c>
      <c r="F57" s="87">
        <v>12</v>
      </c>
      <c r="G57" s="88">
        <v>30332</v>
      </c>
      <c r="H57" s="87">
        <v>21</v>
      </c>
      <c r="I57" s="88">
        <v>30903</v>
      </c>
      <c r="J57" s="92">
        <v>18</v>
      </c>
      <c r="K57" s="93">
        <v>29275</v>
      </c>
      <c r="L57" s="92">
        <v>16</v>
      </c>
      <c r="M57" s="93">
        <v>19448</v>
      </c>
      <c r="N57" s="92">
        <v>16</v>
      </c>
      <c r="O57" s="93">
        <v>18734</v>
      </c>
      <c r="Q57" s="101"/>
    </row>
    <row r="58" spans="1:17" s="99" customFormat="1" ht="9.75" customHeight="1" x14ac:dyDescent="0.25">
      <c r="A58" s="94" t="s">
        <v>102</v>
      </c>
      <c r="B58" s="95" t="s">
        <v>51</v>
      </c>
      <c r="C58" s="96" t="s">
        <v>51</v>
      </c>
      <c r="D58" s="95" t="s">
        <v>51</v>
      </c>
      <c r="E58" s="96" t="s">
        <v>51</v>
      </c>
      <c r="F58" s="96" t="s">
        <v>51</v>
      </c>
      <c r="G58" s="96" t="s">
        <v>51</v>
      </c>
      <c r="H58" s="97"/>
      <c r="I58" s="96"/>
      <c r="J58" s="96" t="s">
        <v>51</v>
      </c>
      <c r="K58" s="96" t="s">
        <v>51</v>
      </c>
      <c r="L58" s="96" t="s">
        <v>51</v>
      </c>
      <c r="M58" s="96" t="s">
        <v>51</v>
      </c>
      <c r="N58" s="98">
        <v>3</v>
      </c>
      <c r="O58" s="96">
        <v>3241</v>
      </c>
    </row>
    <row r="59" spans="1:17" s="99" customFormat="1" ht="9.75" customHeight="1" x14ac:dyDescent="0.25">
      <c r="A59" s="94" t="s">
        <v>103</v>
      </c>
      <c r="B59" s="95" t="s">
        <v>51</v>
      </c>
      <c r="C59" s="96" t="s">
        <v>51</v>
      </c>
      <c r="D59" s="95" t="s">
        <v>51</v>
      </c>
      <c r="E59" s="96" t="s">
        <v>51</v>
      </c>
      <c r="F59" s="95" t="s">
        <v>51</v>
      </c>
      <c r="G59" s="96" t="s">
        <v>51</v>
      </c>
      <c r="H59" s="95" t="s">
        <v>51</v>
      </c>
      <c r="I59" s="96" t="s">
        <v>51</v>
      </c>
      <c r="J59" s="98">
        <v>1</v>
      </c>
      <c r="K59" s="96">
        <v>252</v>
      </c>
      <c r="L59" s="96" t="s">
        <v>51</v>
      </c>
      <c r="M59" s="96" t="s">
        <v>51</v>
      </c>
      <c r="N59" s="96" t="s">
        <v>51</v>
      </c>
      <c r="O59" s="96" t="s">
        <v>51</v>
      </c>
    </row>
    <row r="60" spans="1:17" s="99" customFormat="1" ht="9.75" customHeight="1" x14ac:dyDescent="0.25">
      <c r="A60" s="94" t="s">
        <v>104</v>
      </c>
      <c r="B60" s="98">
        <v>5</v>
      </c>
      <c r="C60" s="96">
        <v>89838</v>
      </c>
      <c r="D60" s="95" t="s">
        <v>51</v>
      </c>
      <c r="E60" s="96" t="s">
        <v>51</v>
      </c>
      <c r="F60" s="96" t="s">
        <v>51</v>
      </c>
      <c r="G60" s="96" t="s">
        <v>51</v>
      </c>
      <c r="H60" s="95">
        <v>1</v>
      </c>
      <c r="I60" s="96">
        <v>1683</v>
      </c>
      <c r="J60" s="96" t="s">
        <v>51</v>
      </c>
      <c r="K60" s="96" t="s">
        <v>51</v>
      </c>
      <c r="L60" s="96" t="s">
        <v>51</v>
      </c>
      <c r="M60" s="96" t="s">
        <v>51</v>
      </c>
      <c r="N60" s="98">
        <v>1</v>
      </c>
      <c r="O60" s="96">
        <v>185</v>
      </c>
    </row>
    <row r="61" spans="1:17" s="99" customFormat="1" ht="9.75" customHeight="1" x14ac:dyDescent="0.25">
      <c r="A61" s="94" t="s">
        <v>105</v>
      </c>
      <c r="B61" s="98">
        <v>2</v>
      </c>
      <c r="C61" s="96">
        <v>2912</v>
      </c>
      <c r="D61" s="95" t="s">
        <v>51</v>
      </c>
      <c r="E61" s="96" t="s">
        <v>51</v>
      </c>
      <c r="F61" s="98">
        <v>6</v>
      </c>
      <c r="G61" s="96">
        <v>2962</v>
      </c>
      <c r="H61" s="98">
        <v>9</v>
      </c>
      <c r="I61" s="96">
        <v>7600</v>
      </c>
      <c r="J61" s="98">
        <v>4</v>
      </c>
      <c r="K61" s="96">
        <v>2265</v>
      </c>
      <c r="L61" s="95">
        <v>2</v>
      </c>
      <c r="M61" s="96">
        <v>1113</v>
      </c>
      <c r="N61" s="98">
        <v>4</v>
      </c>
      <c r="O61" s="96">
        <v>3402</v>
      </c>
    </row>
    <row r="62" spans="1:17" s="99" customFormat="1" ht="9.75" customHeight="1" x14ac:dyDescent="0.25">
      <c r="A62" s="94" t="s">
        <v>106</v>
      </c>
      <c r="B62" s="95" t="s">
        <v>51</v>
      </c>
      <c r="C62" s="96" t="s">
        <v>51</v>
      </c>
      <c r="D62" s="98">
        <v>1</v>
      </c>
      <c r="E62" s="96">
        <v>19</v>
      </c>
      <c r="F62" s="95">
        <v>2</v>
      </c>
      <c r="G62" s="96">
        <v>16719</v>
      </c>
      <c r="H62" s="96" t="s">
        <v>51</v>
      </c>
      <c r="I62" s="96" t="s">
        <v>51</v>
      </c>
      <c r="J62" s="95">
        <v>2</v>
      </c>
      <c r="K62" s="96">
        <v>4782</v>
      </c>
      <c r="L62" s="95">
        <v>1</v>
      </c>
      <c r="M62" s="96">
        <v>129</v>
      </c>
      <c r="N62" s="98">
        <v>1</v>
      </c>
      <c r="O62" s="96">
        <v>2107</v>
      </c>
    </row>
    <row r="63" spans="1:17" s="99" customFormat="1" ht="9.75" customHeight="1" x14ac:dyDescent="0.25">
      <c r="A63" s="94" t="s">
        <v>107</v>
      </c>
      <c r="B63" s="98">
        <v>2</v>
      </c>
      <c r="C63" s="96">
        <v>4801</v>
      </c>
      <c r="D63" s="95" t="s">
        <v>51</v>
      </c>
      <c r="E63" s="96" t="s">
        <v>51</v>
      </c>
      <c r="F63" s="98">
        <v>2</v>
      </c>
      <c r="G63" s="96">
        <v>9440</v>
      </c>
      <c r="H63" s="98">
        <v>2</v>
      </c>
      <c r="I63" s="96">
        <v>436</v>
      </c>
      <c r="J63" s="96" t="s">
        <v>51</v>
      </c>
      <c r="K63" s="96" t="s">
        <v>51</v>
      </c>
      <c r="L63" s="95">
        <v>2</v>
      </c>
      <c r="M63" s="96">
        <v>3216</v>
      </c>
      <c r="N63" s="96" t="s">
        <v>51</v>
      </c>
      <c r="O63" s="96" t="s">
        <v>51</v>
      </c>
    </row>
    <row r="64" spans="1:17" s="99" customFormat="1" ht="9.75" customHeight="1" x14ac:dyDescent="0.25">
      <c r="A64" s="94" t="s">
        <v>108</v>
      </c>
      <c r="B64" s="98">
        <v>2</v>
      </c>
      <c r="C64" s="96">
        <v>30357</v>
      </c>
      <c r="D64" s="98">
        <v>3</v>
      </c>
      <c r="E64" s="96">
        <v>22795</v>
      </c>
      <c r="F64" s="98">
        <v>2</v>
      </c>
      <c r="G64" s="96">
        <v>1211</v>
      </c>
      <c r="H64" s="98">
        <v>4</v>
      </c>
      <c r="I64" s="96">
        <v>16598</v>
      </c>
      <c r="J64" s="98">
        <v>9</v>
      </c>
      <c r="K64" s="96">
        <v>11102</v>
      </c>
      <c r="L64" s="95">
        <v>8</v>
      </c>
      <c r="M64" s="96">
        <v>13197</v>
      </c>
      <c r="N64" s="98">
        <v>5</v>
      </c>
      <c r="O64" s="96">
        <v>3873</v>
      </c>
    </row>
    <row r="65" spans="1:17" s="99" customFormat="1" ht="9.75" customHeight="1" x14ac:dyDescent="0.25">
      <c r="A65" s="94" t="s">
        <v>109</v>
      </c>
      <c r="B65" s="95" t="s">
        <v>51</v>
      </c>
      <c r="C65" s="95" t="s">
        <v>51</v>
      </c>
      <c r="D65" s="95" t="s">
        <v>51</v>
      </c>
      <c r="E65" s="95" t="s">
        <v>51</v>
      </c>
      <c r="F65" s="95" t="s">
        <v>51</v>
      </c>
      <c r="G65" s="95" t="s">
        <v>51</v>
      </c>
      <c r="H65" s="98">
        <v>1</v>
      </c>
      <c r="I65" s="96">
        <v>1968</v>
      </c>
      <c r="J65" s="95" t="s">
        <v>51</v>
      </c>
      <c r="K65" s="95" t="s">
        <v>51</v>
      </c>
      <c r="L65" s="96" t="s">
        <v>51</v>
      </c>
      <c r="M65" s="96" t="s">
        <v>51</v>
      </c>
      <c r="N65" s="96" t="s">
        <v>51</v>
      </c>
      <c r="O65" s="96" t="s">
        <v>51</v>
      </c>
    </row>
    <row r="66" spans="1:17" s="99" customFormat="1" ht="9.75" customHeight="1" x14ac:dyDescent="0.25">
      <c r="A66" s="94" t="s">
        <v>110</v>
      </c>
      <c r="B66" s="95" t="s">
        <v>51</v>
      </c>
      <c r="C66" s="95" t="s">
        <v>51</v>
      </c>
      <c r="D66" s="95" t="s">
        <v>51</v>
      </c>
      <c r="E66" s="95" t="s">
        <v>51</v>
      </c>
      <c r="F66" s="95" t="s">
        <v>51</v>
      </c>
      <c r="G66" s="95" t="s">
        <v>51</v>
      </c>
      <c r="H66" s="95" t="s">
        <v>51</v>
      </c>
      <c r="I66" s="95" t="s">
        <v>51</v>
      </c>
      <c r="J66" s="95" t="s">
        <v>51</v>
      </c>
      <c r="K66" s="95" t="s">
        <v>51</v>
      </c>
      <c r="L66" s="95">
        <v>1</v>
      </c>
      <c r="M66" s="96">
        <v>881</v>
      </c>
      <c r="N66" s="98">
        <v>1</v>
      </c>
      <c r="O66" s="96">
        <v>4294</v>
      </c>
    </row>
    <row r="67" spans="1:17" s="99" customFormat="1" ht="9.75" customHeight="1" x14ac:dyDescent="0.25">
      <c r="A67" s="94" t="s">
        <v>111</v>
      </c>
      <c r="B67" s="98">
        <v>1</v>
      </c>
      <c r="C67" s="96">
        <v>0</v>
      </c>
      <c r="D67" s="95" t="s">
        <v>51</v>
      </c>
      <c r="E67" s="96" t="s">
        <v>51</v>
      </c>
      <c r="F67" s="96" t="s">
        <v>51</v>
      </c>
      <c r="G67" s="96" t="s">
        <v>51</v>
      </c>
      <c r="H67" s="96" t="s">
        <v>51</v>
      </c>
      <c r="I67" s="96" t="s">
        <v>51</v>
      </c>
      <c r="J67" s="95" t="s">
        <v>51</v>
      </c>
      <c r="K67" s="95" t="s">
        <v>51</v>
      </c>
      <c r="L67" s="96" t="s">
        <v>51</v>
      </c>
      <c r="M67" s="96" t="s">
        <v>51</v>
      </c>
      <c r="N67" s="96" t="s">
        <v>51</v>
      </c>
      <c r="O67" s="96" t="s">
        <v>51</v>
      </c>
    </row>
    <row r="68" spans="1:17" s="99" customFormat="1" ht="9.75" customHeight="1" x14ac:dyDescent="0.25">
      <c r="A68" s="94" t="s">
        <v>112</v>
      </c>
      <c r="B68" s="95" t="s">
        <v>51</v>
      </c>
      <c r="C68" s="95" t="s">
        <v>51</v>
      </c>
      <c r="D68" s="95" t="s">
        <v>51</v>
      </c>
      <c r="E68" s="95" t="s">
        <v>51</v>
      </c>
      <c r="F68" s="95" t="s">
        <v>51</v>
      </c>
      <c r="G68" s="95" t="s">
        <v>51</v>
      </c>
      <c r="H68" s="98">
        <v>1</v>
      </c>
      <c r="I68" s="96">
        <v>217</v>
      </c>
      <c r="J68" s="95" t="s">
        <v>51</v>
      </c>
      <c r="K68" s="95" t="s">
        <v>51</v>
      </c>
      <c r="L68" s="96" t="s">
        <v>51</v>
      </c>
      <c r="M68" s="96" t="s">
        <v>51</v>
      </c>
      <c r="N68" s="96" t="s">
        <v>51</v>
      </c>
      <c r="O68" s="96" t="s">
        <v>51</v>
      </c>
    </row>
    <row r="69" spans="1:17" s="99" customFormat="1" ht="9.75" customHeight="1" x14ac:dyDescent="0.25">
      <c r="A69" s="94" t="s">
        <v>113</v>
      </c>
      <c r="B69" s="95" t="s">
        <v>51</v>
      </c>
      <c r="C69" s="95" t="s">
        <v>51</v>
      </c>
      <c r="D69" s="95" t="s">
        <v>51</v>
      </c>
      <c r="E69" s="95" t="s">
        <v>51</v>
      </c>
      <c r="F69" s="95" t="s">
        <v>51</v>
      </c>
      <c r="G69" s="95" t="s">
        <v>51</v>
      </c>
      <c r="H69" s="95" t="s">
        <v>51</v>
      </c>
      <c r="I69" s="95" t="s">
        <v>51</v>
      </c>
      <c r="J69" s="95" t="s">
        <v>51</v>
      </c>
      <c r="K69" s="95" t="s">
        <v>51</v>
      </c>
      <c r="L69" s="95">
        <v>1</v>
      </c>
      <c r="M69" s="96">
        <v>500</v>
      </c>
      <c r="N69" s="96" t="s">
        <v>51</v>
      </c>
      <c r="O69" s="96" t="s">
        <v>51</v>
      </c>
    </row>
    <row r="70" spans="1:17" s="99" customFormat="1" ht="9.75" customHeight="1" x14ac:dyDescent="0.25">
      <c r="A70" s="94" t="s">
        <v>114</v>
      </c>
      <c r="B70" s="95" t="s">
        <v>51</v>
      </c>
      <c r="C70" s="96" t="s">
        <v>51</v>
      </c>
      <c r="D70" s="95" t="s">
        <v>51</v>
      </c>
      <c r="E70" s="96" t="s">
        <v>51</v>
      </c>
      <c r="F70" s="96" t="s">
        <v>51</v>
      </c>
      <c r="G70" s="96" t="s">
        <v>51</v>
      </c>
      <c r="H70" s="96" t="s">
        <v>51</v>
      </c>
      <c r="I70" s="96" t="s">
        <v>51</v>
      </c>
      <c r="J70" s="97">
        <v>1</v>
      </c>
      <c r="K70" s="96">
        <v>3155</v>
      </c>
      <c r="L70" s="96" t="s">
        <v>51</v>
      </c>
      <c r="M70" s="96" t="s">
        <v>51</v>
      </c>
      <c r="N70" s="96" t="s">
        <v>51</v>
      </c>
      <c r="O70" s="96" t="s">
        <v>51</v>
      </c>
    </row>
    <row r="71" spans="1:17" s="99" customFormat="1" ht="9.75" customHeight="1" x14ac:dyDescent="0.25">
      <c r="A71" s="94" t="s">
        <v>115</v>
      </c>
      <c r="B71" s="95" t="s">
        <v>51</v>
      </c>
      <c r="C71" s="95" t="s">
        <v>51</v>
      </c>
      <c r="D71" s="95" t="s">
        <v>51</v>
      </c>
      <c r="E71" s="95" t="s">
        <v>51</v>
      </c>
      <c r="F71" s="95" t="s">
        <v>51</v>
      </c>
      <c r="G71" s="95" t="s">
        <v>51</v>
      </c>
      <c r="H71" s="95" t="s">
        <v>51</v>
      </c>
      <c r="I71" s="95" t="s">
        <v>51</v>
      </c>
      <c r="J71" s="95" t="s">
        <v>51</v>
      </c>
      <c r="K71" s="95" t="s">
        <v>51</v>
      </c>
      <c r="L71" s="95" t="s">
        <v>51</v>
      </c>
      <c r="M71" s="95" t="s">
        <v>51</v>
      </c>
      <c r="N71" s="98">
        <v>1</v>
      </c>
      <c r="O71" s="96">
        <v>1632</v>
      </c>
    </row>
    <row r="72" spans="1:17" s="87" customFormat="1" ht="9.75" customHeight="1" x14ac:dyDescent="0.25">
      <c r="A72" s="94" t="s">
        <v>116</v>
      </c>
      <c r="B72" s="98">
        <v>1</v>
      </c>
      <c r="C72" s="96">
        <v>879</v>
      </c>
      <c r="D72" s="95" t="s">
        <v>51</v>
      </c>
      <c r="E72" s="96" t="s">
        <v>51</v>
      </c>
      <c r="F72" s="96" t="s">
        <v>51</v>
      </c>
      <c r="G72" s="96" t="s">
        <v>51</v>
      </c>
      <c r="H72" s="97">
        <v>2</v>
      </c>
      <c r="I72" s="96">
        <v>1423</v>
      </c>
      <c r="J72" s="97">
        <v>1</v>
      </c>
      <c r="K72" s="96">
        <v>7719</v>
      </c>
      <c r="L72" s="95">
        <v>1</v>
      </c>
      <c r="M72" s="96">
        <v>412</v>
      </c>
      <c r="N72" s="96" t="s">
        <v>51</v>
      </c>
      <c r="O72" s="96" t="s">
        <v>51</v>
      </c>
    </row>
    <row r="73" spans="1:17" s="99" customFormat="1" ht="9.75" customHeight="1" x14ac:dyDescent="0.25">
      <c r="A73" s="94" t="s">
        <v>117</v>
      </c>
      <c r="B73" s="95" t="s">
        <v>51</v>
      </c>
      <c r="C73" s="96" t="s">
        <v>51</v>
      </c>
      <c r="D73" s="98">
        <v>1</v>
      </c>
      <c r="E73" s="96">
        <v>22</v>
      </c>
      <c r="F73" s="96" t="s">
        <v>51</v>
      </c>
      <c r="G73" s="96" t="s">
        <v>51</v>
      </c>
      <c r="H73" s="96" t="s">
        <v>51</v>
      </c>
      <c r="I73" s="96" t="s">
        <v>51</v>
      </c>
      <c r="J73" s="95" t="s">
        <v>51</v>
      </c>
      <c r="K73" s="95" t="s">
        <v>51</v>
      </c>
      <c r="L73" s="96" t="s">
        <v>51</v>
      </c>
      <c r="M73" s="96" t="s">
        <v>51</v>
      </c>
      <c r="N73" s="96" t="s">
        <v>51</v>
      </c>
      <c r="O73" s="96" t="s">
        <v>51</v>
      </c>
    </row>
    <row r="74" spans="1:17" s="99" customFormat="1" ht="9.75" customHeight="1" x14ac:dyDescent="0.25">
      <c r="A74" s="94" t="s">
        <v>118</v>
      </c>
      <c r="B74" s="98">
        <v>1</v>
      </c>
      <c r="C74" s="96">
        <v>17615</v>
      </c>
      <c r="D74" s="98">
        <v>3</v>
      </c>
      <c r="E74" s="96">
        <v>3929</v>
      </c>
      <c r="F74" s="96" t="s">
        <v>51</v>
      </c>
      <c r="G74" s="96" t="s">
        <v>51</v>
      </c>
      <c r="H74" s="98">
        <v>1</v>
      </c>
      <c r="I74" s="96">
        <v>978</v>
      </c>
      <c r="J74" s="95" t="s">
        <v>51</v>
      </c>
      <c r="K74" s="95" t="s">
        <v>51</v>
      </c>
      <c r="L74" s="96" t="s">
        <v>51</v>
      </c>
      <c r="M74" s="96" t="s">
        <v>51</v>
      </c>
      <c r="N74" s="96" t="s">
        <v>51</v>
      </c>
      <c r="O74" s="96" t="s">
        <v>51</v>
      </c>
    </row>
    <row r="75" spans="1:17" ht="9.75" customHeight="1" x14ac:dyDescent="0.25">
      <c r="A75" s="86" t="s">
        <v>119</v>
      </c>
      <c r="B75" s="89">
        <v>2</v>
      </c>
      <c r="C75" s="88">
        <v>84111</v>
      </c>
      <c r="D75" s="89">
        <v>2</v>
      </c>
      <c r="E75" s="88">
        <v>17820</v>
      </c>
      <c r="F75" s="89">
        <v>4</v>
      </c>
      <c r="G75" s="88">
        <v>135853</v>
      </c>
      <c r="H75" s="87">
        <v>1</v>
      </c>
      <c r="I75" s="88">
        <v>1709</v>
      </c>
      <c r="J75" s="105">
        <v>4</v>
      </c>
      <c r="K75" s="93">
        <v>40738</v>
      </c>
      <c r="L75" s="105">
        <v>3</v>
      </c>
      <c r="M75" s="93">
        <v>45957</v>
      </c>
      <c r="N75" s="105">
        <v>1</v>
      </c>
      <c r="O75" s="93">
        <v>555</v>
      </c>
      <c r="Q75" s="107"/>
    </row>
    <row r="76" spans="1:17" ht="9.75" customHeight="1" x14ac:dyDescent="0.25">
      <c r="A76" s="94" t="s">
        <v>120</v>
      </c>
      <c r="B76" s="98">
        <v>2</v>
      </c>
      <c r="C76" s="96">
        <v>84111</v>
      </c>
      <c r="D76" s="98">
        <v>2</v>
      </c>
      <c r="E76" s="96">
        <v>17820</v>
      </c>
      <c r="F76" s="98">
        <v>4</v>
      </c>
      <c r="G76" s="96">
        <v>135853</v>
      </c>
      <c r="H76" s="96" t="s">
        <v>51</v>
      </c>
      <c r="I76" s="96" t="s">
        <v>51</v>
      </c>
      <c r="J76" s="95">
        <v>4</v>
      </c>
      <c r="K76" s="96">
        <v>40738</v>
      </c>
      <c r="L76" s="95">
        <v>2</v>
      </c>
      <c r="M76" s="96">
        <v>3071</v>
      </c>
      <c r="N76" s="98">
        <v>1</v>
      </c>
      <c r="O76" s="96">
        <v>555</v>
      </c>
    </row>
    <row r="77" spans="1:17" ht="9.75" customHeight="1" x14ac:dyDescent="0.25">
      <c r="A77" s="94" t="s">
        <v>121</v>
      </c>
      <c r="B77" s="95" t="s">
        <v>51</v>
      </c>
      <c r="C77" s="95" t="s">
        <v>51</v>
      </c>
      <c r="D77" s="95" t="s">
        <v>51</v>
      </c>
      <c r="E77" s="95" t="s">
        <v>51</v>
      </c>
      <c r="F77" s="95" t="s">
        <v>51</v>
      </c>
      <c r="G77" s="95" t="s">
        <v>51</v>
      </c>
      <c r="H77" s="98">
        <v>1</v>
      </c>
      <c r="I77" s="96">
        <v>1709</v>
      </c>
      <c r="J77" s="95" t="s">
        <v>51</v>
      </c>
      <c r="K77" s="95" t="s">
        <v>51</v>
      </c>
      <c r="L77" s="95">
        <v>1</v>
      </c>
      <c r="M77" s="96">
        <v>42886</v>
      </c>
      <c r="N77" s="95" t="s">
        <v>51</v>
      </c>
      <c r="O77" s="95" t="s">
        <v>51</v>
      </c>
    </row>
    <row r="78" spans="1:17" ht="9.75" customHeight="1" x14ac:dyDescent="0.25"/>
    <row r="79" spans="1:17" ht="14.25" customHeight="1" x14ac:dyDescent="0.25">
      <c r="A79" s="112" t="s">
        <v>122</v>
      </c>
      <c r="B79" s="112"/>
      <c r="C79" s="112"/>
      <c r="D79" s="112"/>
      <c r="E79" s="112"/>
      <c r="F79" s="112"/>
      <c r="G79" s="112"/>
      <c r="H79" s="112"/>
      <c r="I79" s="112"/>
      <c r="J79" s="112"/>
      <c r="K79" s="112"/>
      <c r="L79" s="112"/>
      <c r="M79" s="112"/>
      <c r="N79" s="112"/>
      <c r="O79" s="112"/>
    </row>
  </sheetData>
  <mergeCells count="10">
    <mergeCell ref="A79:O79"/>
    <mergeCell ref="A1:O1"/>
    <mergeCell ref="A3:A4"/>
    <mergeCell ref="B3:C3"/>
    <mergeCell ref="D3:E3"/>
    <mergeCell ref="F3:G3"/>
    <mergeCell ref="H3:I3"/>
    <mergeCell ref="J3:K3"/>
    <mergeCell ref="L3:M3"/>
    <mergeCell ref="N3:O3"/>
  </mergeCells>
  <pageMargins left="0.70000000000000007" right="0.70000000000000007" top="0.78740157500000008" bottom="0.78740157500000008" header="0.30000000000000004" footer="0.30000000000000004"/>
  <pageSetup paperSize="0" scale="94" fitToWidth="0" fitToHeight="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3"/>
  <sheetViews>
    <sheetView workbookViewId="0"/>
  </sheetViews>
  <sheetFormatPr baseColWidth="10" defaultColWidth="9.77734375" defaultRowHeight="9" x14ac:dyDescent="0.25"/>
  <cols>
    <col min="1" max="1" width="39.109375" style="123" customWidth="1"/>
    <col min="2" max="4" width="10.77734375" style="123" customWidth="1"/>
    <col min="5" max="5" width="9.77734375" style="123" customWidth="1"/>
    <col min="6" max="16384" width="9.77734375" style="123"/>
  </cols>
  <sheetData>
    <row r="1" spans="1:8" s="114" customFormat="1" ht="11.65" x14ac:dyDescent="0.35">
      <c r="A1" s="133" t="s">
        <v>7</v>
      </c>
      <c r="B1" s="133"/>
      <c r="C1" s="133"/>
      <c r="D1" s="133"/>
      <c r="E1" s="113"/>
      <c r="F1" s="113"/>
      <c r="G1" s="113"/>
    </row>
    <row r="2" spans="1:8" s="114" customFormat="1" ht="11.65" x14ac:dyDescent="0.35">
      <c r="A2" s="115"/>
      <c r="B2" s="115"/>
      <c r="C2" s="115"/>
      <c r="D2" s="116"/>
      <c r="E2" s="117"/>
      <c r="H2" s="118"/>
    </row>
    <row r="3" spans="1:8" s="114" customFormat="1" ht="12.75" customHeight="1" x14ac:dyDescent="0.35">
      <c r="A3" s="134" t="s">
        <v>45</v>
      </c>
      <c r="B3" s="135" t="s">
        <v>123</v>
      </c>
      <c r="C3" s="136" t="s">
        <v>124</v>
      </c>
      <c r="D3" s="136"/>
      <c r="E3" s="117"/>
      <c r="H3" s="118"/>
    </row>
    <row r="4" spans="1:8" ht="12.75" customHeight="1" x14ac:dyDescent="0.25">
      <c r="A4" s="134"/>
      <c r="B4" s="135"/>
      <c r="C4" s="121">
        <v>1000</v>
      </c>
      <c r="D4" s="122" t="s">
        <v>125</v>
      </c>
    </row>
    <row r="5" spans="1:8" ht="15" customHeight="1" x14ac:dyDescent="0.25">
      <c r="A5" s="124" t="s">
        <v>48</v>
      </c>
      <c r="B5" s="125">
        <v>438</v>
      </c>
      <c r="C5" s="88">
        <v>13104366</v>
      </c>
      <c r="D5" s="126">
        <v>100</v>
      </c>
    </row>
    <row r="6" spans="1:8" ht="12.75" customHeight="1" x14ac:dyDescent="0.25">
      <c r="A6" s="123" t="s">
        <v>99</v>
      </c>
      <c r="B6" s="123">
        <v>155</v>
      </c>
      <c r="C6" s="96">
        <v>10012365</v>
      </c>
      <c r="D6" s="127">
        <v>76.404802796258892</v>
      </c>
    </row>
    <row r="7" spans="1:8" ht="9.75" customHeight="1" x14ac:dyDescent="0.25">
      <c r="A7" s="123" t="s">
        <v>55</v>
      </c>
      <c r="B7" s="123">
        <v>71</v>
      </c>
      <c r="C7" s="96">
        <v>1476754</v>
      </c>
      <c r="D7" s="127">
        <v>11.269175479378401</v>
      </c>
    </row>
    <row r="8" spans="1:8" ht="9.75" customHeight="1" x14ac:dyDescent="0.25">
      <c r="A8" s="123" t="s">
        <v>58</v>
      </c>
      <c r="B8" s="123">
        <v>39</v>
      </c>
      <c r="C8" s="96">
        <v>589146</v>
      </c>
      <c r="D8" s="127">
        <v>4.4957993389378776</v>
      </c>
      <c r="F8" s="128"/>
    </row>
    <row r="9" spans="1:8" ht="9.75" customHeight="1" x14ac:dyDescent="0.25">
      <c r="A9" s="123" t="s">
        <v>69</v>
      </c>
      <c r="B9" s="123">
        <v>38</v>
      </c>
      <c r="C9" s="96">
        <v>326680</v>
      </c>
      <c r="D9" s="127">
        <v>2.4929096150092267</v>
      </c>
    </row>
    <row r="10" spans="1:8" ht="9.75" customHeight="1" x14ac:dyDescent="0.25">
      <c r="A10" s="123" t="s">
        <v>82</v>
      </c>
      <c r="B10" s="123">
        <v>20</v>
      </c>
      <c r="C10" s="96">
        <v>280867</v>
      </c>
      <c r="D10" s="127">
        <v>2.1433085736463711</v>
      </c>
    </row>
    <row r="11" spans="1:8" ht="9.75" customHeight="1" x14ac:dyDescent="0.25">
      <c r="A11" s="123" t="s">
        <v>80</v>
      </c>
      <c r="B11" s="123">
        <v>26</v>
      </c>
      <c r="C11" s="96">
        <v>96403</v>
      </c>
      <c r="D11" s="127">
        <v>0.73565558226929861</v>
      </c>
    </row>
    <row r="12" spans="1:8" ht="9.75" customHeight="1" x14ac:dyDescent="0.25">
      <c r="A12" s="123" t="s">
        <v>52</v>
      </c>
      <c r="B12" s="123">
        <v>2</v>
      </c>
      <c r="C12" s="96">
        <v>60372</v>
      </c>
      <c r="D12" s="127">
        <v>0.46070141813804649</v>
      </c>
    </row>
    <row r="13" spans="1:8" ht="9.75" customHeight="1" x14ac:dyDescent="0.25">
      <c r="A13" s="123" t="s">
        <v>88</v>
      </c>
      <c r="B13" s="123">
        <v>5</v>
      </c>
      <c r="C13" s="96">
        <v>44294</v>
      </c>
      <c r="D13" s="127">
        <v>0.33800948477782139</v>
      </c>
    </row>
    <row r="14" spans="1:8" ht="9.75" customHeight="1" x14ac:dyDescent="0.25">
      <c r="A14" s="123" t="s">
        <v>78</v>
      </c>
      <c r="B14" s="123">
        <v>6</v>
      </c>
      <c r="C14" s="96">
        <v>44171</v>
      </c>
      <c r="D14" s="127">
        <v>0.3370708663051688</v>
      </c>
    </row>
    <row r="15" spans="1:8" ht="9.75" customHeight="1" x14ac:dyDescent="0.25">
      <c r="A15" s="123" t="s">
        <v>62</v>
      </c>
      <c r="B15" s="123">
        <v>10</v>
      </c>
      <c r="C15" s="96">
        <v>36566</v>
      </c>
      <c r="D15" s="127">
        <v>0.27903677293506607</v>
      </c>
    </row>
    <row r="16" spans="1:8" ht="9.75" customHeight="1" x14ac:dyDescent="0.25">
      <c r="A16" s="123" t="s">
        <v>65</v>
      </c>
      <c r="B16" s="123">
        <v>2</v>
      </c>
      <c r="C16" s="96">
        <v>28466</v>
      </c>
      <c r="D16" s="127">
        <v>0.21722531254087379</v>
      </c>
    </row>
    <row r="17" spans="1:5" ht="9.75" customHeight="1" x14ac:dyDescent="0.25">
      <c r="A17" s="123" t="s">
        <v>54</v>
      </c>
      <c r="B17" s="123">
        <v>3</v>
      </c>
      <c r="C17" s="96">
        <v>15220</v>
      </c>
      <c r="D17" s="127">
        <v>0.11614449718513663</v>
      </c>
    </row>
    <row r="18" spans="1:5" ht="9.75" customHeight="1" x14ac:dyDescent="0.25">
      <c r="A18" s="123" t="s">
        <v>73</v>
      </c>
      <c r="B18" s="123">
        <v>16</v>
      </c>
      <c r="C18" s="96">
        <v>14833</v>
      </c>
      <c r="D18" s="127">
        <v>0.11319128296630299</v>
      </c>
    </row>
    <row r="19" spans="1:5" ht="9.75" customHeight="1" x14ac:dyDescent="0.25">
      <c r="A19" s="123" t="s">
        <v>57</v>
      </c>
      <c r="B19" s="123">
        <v>2</v>
      </c>
      <c r="C19" s="96">
        <v>11018</v>
      </c>
      <c r="D19" s="127">
        <v>8.4078848225087738E-2</v>
      </c>
    </row>
    <row r="20" spans="1:5" ht="9.75" customHeight="1" x14ac:dyDescent="0.25">
      <c r="A20" s="123" t="s">
        <v>126</v>
      </c>
      <c r="B20" s="123">
        <v>43</v>
      </c>
      <c r="C20" s="96">
        <v>67211</v>
      </c>
      <c r="D20" s="127">
        <v>0.51289013142642692</v>
      </c>
    </row>
    <row r="21" spans="1:5" ht="9.75" customHeight="1" x14ac:dyDescent="0.25"/>
    <row r="22" spans="1:5" ht="9.75" customHeight="1" x14ac:dyDescent="0.25">
      <c r="A22" s="137" t="s">
        <v>122</v>
      </c>
      <c r="B22" s="137"/>
      <c r="C22" s="137"/>
      <c r="D22" s="137"/>
    </row>
    <row r="23" spans="1:5" ht="9.75" customHeight="1" x14ac:dyDescent="0.25">
      <c r="A23" s="129"/>
      <c r="B23" s="129"/>
      <c r="C23" s="129"/>
      <c r="D23" s="129"/>
      <c r="E23" s="128"/>
    </row>
    <row r="24" spans="1:5" ht="9.75" customHeight="1" x14ac:dyDescent="0.25">
      <c r="C24" s="130"/>
    </row>
    <row r="25" spans="1:5" ht="9.75" customHeight="1" x14ac:dyDescent="0.25">
      <c r="C25" s="130"/>
    </row>
    <row r="26" spans="1:5" ht="9.75" customHeight="1" x14ac:dyDescent="0.25">
      <c r="C26" s="130"/>
    </row>
    <row r="27" spans="1:5" ht="9.75" customHeight="1" x14ac:dyDescent="0.25">
      <c r="C27" s="130"/>
    </row>
    <row r="28" spans="1:5" ht="9.75" customHeight="1" x14ac:dyDescent="0.25">
      <c r="C28" s="130"/>
    </row>
    <row r="29" spans="1:5" ht="9.75" customHeight="1" x14ac:dyDescent="0.25">
      <c r="C29" s="130"/>
    </row>
    <row r="30" spans="1:5" ht="9.75" customHeight="1" x14ac:dyDescent="0.25">
      <c r="C30" s="130"/>
    </row>
    <row r="31" spans="1:5" ht="9.75" customHeight="1" x14ac:dyDescent="0.25">
      <c r="C31" s="130"/>
    </row>
    <row r="32" spans="1:5" ht="9.75" customHeight="1" x14ac:dyDescent="0.25">
      <c r="C32" s="130"/>
    </row>
    <row r="33" spans="3:3" ht="9.75" customHeight="1" x14ac:dyDescent="0.25">
      <c r="C33" s="130"/>
    </row>
    <row r="34" spans="3:3" ht="9.75" customHeight="1" x14ac:dyDescent="0.25">
      <c r="C34" s="130"/>
    </row>
    <row r="35" spans="3:3" ht="9.75" customHeight="1" x14ac:dyDescent="0.25">
      <c r="C35" s="130"/>
    </row>
    <row r="36" spans="3:3" ht="9.75" customHeight="1" x14ac:dyDescent="0.25">
      <c r="C36" s="130"/>
    </row>
    <row r="37" spans="3:3" ht="9.75" customHeight="1" x14ac:dyDescent="0.25">
      <c r="C37" s="130"/>
    </row>
    <row r="38" spans="3:3" ht="9.75" customHeight="1" x14ac:dyDescent="0.25">
      <c r="C38" s="130"/>
    </row>
    <row r="39" spans="3:3" ht="9.75" customHeight="1" x14ac:dyDescent="0.25">
      <c r="C39" s="130"/>
    </row>
    <row r="40" spans="3:3" ht="9.75" customHeight="1" x14ac:dyDescent="0.25">
      <c r="C40" s="130"/>
    </row>
    <row r="41" spans="3:3" ht="9.75" customHeight="1" x14ac:dyDescent="0.25">
      <c r="C41" s="130"/>
    </row>
    <row r="42" spans="3:3" ht="9.75" customHeight="1" x14ac:dyDescent="0.25">
      <c r="C42" s="130"/>
    </row>
    <row r="43" spans="3:3" ht="9.75" customHeight="1" x14ac:dyDescent="0.25">
      <c r="C43" s="130"/>
    </row>
    <row r="44" spans="3:3" ht="9.75" customHeight="1" x14ac:dyDescent="0.25">
      <c r="C44" s="130"/>
    </row>
    <row r="45" spans="3:3" ht="9.75" customHeight="1" x14ac:dyDescent="0.25">
      <c r="C45" s="130"/>
    </row>
    <row r="46" spans="3:3" ht="9.75" customHeight="1" x14ac:dyDescent="0.25">
      <c r="C46" s="130"/>
    </row>
    <row r="47" spans="3:3" ht="9.75" customHeight="1" x14ac:dyDescent="0.25">
      <c r="C47" s="130"/>
    </row>
    <row r="48" spans="3:3" ht="9.75" customHeight="1" x14ac:dyDescent="0.25">
      <c r="C48" s="130"/>
    </row>
    <row r="49" spans="1:4" ht="9.75" customHeight="1" x14ac:dyDescent="0.25">
      <c r="C49" s="130"/>
    </row>
    <row r="50" spans="1:4" ht="9.75" customHeight="1" x14ac:dyDescent="0.25">
      <c r="C50" s="130"/>
    </row>
    <row r="51" spans="1:4" ht="9.75" customHeight="1" x14ac:dyDescent="0.25">
      <c r="C51" s="130"/>
    </row>
    <row r="52" spans="1:4" ht="9.75" customHeight="1" x14ac:dyDescent="0.25">
      <c r="C52" s="130"/>
    </row>
    <row r="53" spans="1:4" ht="9.75" customHeight="1" x14ac:dyDescent="0.25">
      <c r="C53" s="130"/>
    </row>
    <row r="54" spans="1:4" ht="9.75" customHeight="1" x14ac:dyDescent="0.25">
      <c r="C54" s="130"/>
    </row>
    <row r="55" spans="1:4" ht="9.75" customHeight="1" x14ac:dyDescent="0.25">
      <c r="C55" s="130"/>
    </row>
    <row r="56" spans="1:4" ht="9.75" customHeight="1" x14ac:dyDescent="0.25">
      <c r="C56" s="130"/>
    </row>
    <row r="57" spans="1:4" ht="9.75" customHeight="1" x14ac:dyDescent="0.25">
      <c r="C57" s="130"/>
    </row>
    <row r="58" spans="1:4" ht="9.75" customHeight="1" x14ac:dyDescent="0.25">
      <c r="C58" s="130"/>
    </row>
    <row r="59" spans="1:4" ht="9.75" customHeight="1" x14ac:dyDescent="0.25">
      <c r="B59" s="131"/>
      <c r="C59" s="131"/>
      <c r="D59" s="132"/>
    </row>
    <row r="60" spans="1:4" ht="9.75" customHeight="1" x14ac:dyDescent="0.4">
      <c r="A60" s="138"/>
      <c r="B60" s="138"/>
      <c r="C60" s="138"/>
      <c r="D60" s="132"/>
    </row>
    <row r="61" spans="1:4" ht="9.75" customHeight="1" x14ac:dyDescent="0.25"/>
    <row r="62" spans="1:4" ht="9.75" customHeight="1" x14ac:dyDescent="0.25"/>
    <row r="63" spans="1:4" ht="9.75" customHeight="1" x14ac:dyDescent="0.25"/>
    <row r="64" spans="1:4" ht="9.75" customHeight="1" x14ac:dyDescent="0.25"/>
    <row r="65" ht="9.75" customHeight="1" x14ac:dyDescent="0.25"/>
    <row r="66" ht="9.75" customHeight="1" x14ac:dyDescent="0.25"/>
    <row r="67" ht="9.75" customHeight="1" x14ac:dyDescent="0.25"/>
    <row r="68" ht="9.75" customHeight="1" x14ac:dyDescent="0.25"/>
    <row r="69" ht="9.75" customHeight="1" x14ac:dyDescent="0.25"/>
    <row r="70" ht="9.75" customHeight="1" x14ac:dyDescent="0.25"/>
    <row r="71" ht="9.75" customHeight="1" x14ac:dyDescent="0.25"/>
    <row r="72" ht="9.75" customHeight="1" x14ac:dyDescent="0.25"/>
    <row r="73" ht="9.75" customHeight="1" x14ac:dyDescent="0.25"/>
  </sheetData>
  <mergeCells count="6">
    <mergeCell ref="A1:D1"/>
    <mergeCell ref="A3:A4"/>
    <mergeCell ref="B3:B4"/>
    <mergeCell ref="C3:D3"/>
    <mergeCell ref="A22:D22"/>
    <mergeCell ref="A60:C60"/>
  </mergeCells>
  <printOptions horizontalCentered="1"/>
  <pageMargins left="0.78740157480314998" right="0.78740157480314998" top="0.78740157480314898" bottom="0.78740157480314898" header="0.511811023622047" footer="0.511811023622047"/>
  <pageSetup paperSize="0" fitToWidth="0" fitToHeight="0" orientation="portrait" horizontalDpi="0" verticalDpi="0" copies="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
  <sheetViews>
    <sheetView workbookViewId="0"/>
  </sheetViews>
  <sheetFormatPr baseColWidth="10" defaultColWidth="9.77734375" defaultRowHeight="9" x14ac:dyDescent="0.25"/>
  <cols>
    <col min="1" max="1" width="27.6640625" style="123" customWidth="1"/>
    <col min="2" max="2" width="22.5546875" style="123" bestFit="1" customWidth="1"/>
    <col min="3" max="4" width="10.6640625" style="123" customWidth="1"/>
    <col min="5" max="5" width="9.77734375" style="123" customWidth="1"/>
    <col min="6" max="16384" width="9.77734375" style="123"/>
  </cols>
  <sheetData>
    <row r="1" spans="1:7" s="114" customFormat="1" ht="11.65" x14ac:dyDescent="0.35">
      <c r="A1" s="133" t="s">
        <v>8</v>
      </c>
      <c r="B1" s="133"/>
      <c r="C1" s="133"/>
      <c r="D1" s="133"/>
      <c r="E1" s="113"/>
      <c r="F1" s="113"/>
    </row>
    <row r="2" spans="1:7" s="114" customFormat="1" ht="11.65" x14ac:dyDescent="0.35">
      <c r="A2" s="115"/>
      <c r="B2" s="115"/>
      <c r="C2" s="115"/>
      <c r="D2" s="115"/>
      <c r="E2" s="117"/>
    </row>
    <row r="3" spans="1:7" ht="12.75" customHeight="1" x14ac:dyDescent="0.25">
      <c r="A3" s="139" t="s">
        <v>127</v>
      </c>
      <c r="B3" s="119" t="s">
        <v>45</v>
      </c>
      <c r="C3" s="120" t="s">
        <v>128</v>
      </c>
      <c r="D3" s="120" t="s">
        <v>124</v>
      </c>
    </row>
    <row r="4" spans="1:7" s="141" customFormat="1" ht="15" customHeight="1" x14ac:dyDescent="0.35">
      <c r="A4" s="123" t="s">
        <v>129</v>
      </c>
      <c r="B4" s="140" t="s">
        <v>99</v>
      </c>
      <c r="C4" s="140" t="s">
        <v>130</v>
      </c>
      <c r="D4" s="130">
        <v>839703</v>
      </c>
      <c r="F4" s="142"/>
      <c r="G4" s="142"/>
    </row>
    <row r="5" spans="1:7" s="141" customFormat="1" ht="9.75" customHeight="1" x14ac:dyDescent="0.35">
      <c r="A5" s="123" t="s">
        <v>131</v>
      </c>
      <c r="B5" s="140" t="s">
        <v>99</v>
      </c>
      <c r="C5" s="140" t="s">
        <v>132</v>
      </c>
      <c r="D5" s="130">
        <v>623666</v>
      </c>
      <c r="F5" s="142"/>
      <c r="G5" s="142"/>
    </row>
    <row r="6" spans="1:7" s="141" customFormat="1" ht="9.75" customHeight="1" x14ac:dyDescent="0.35">
      <c r="A6" s="123" t="s">
        <v>133</v>
      </c>
      <c r="B6" s="140" t="s">
        <v>99</v>
      </c>
      <c r="C6" s="140" t="s">
        <v>134</v>
      </c>
      <c r="D6" s="130">
        <v>611635</v>
      </c>
      <c r="F6" s="142"/>
      <c r="G6" s="142"/>
    </row>
    <row r="7" spans="1:7" s="141" customFormat="1" ht="9.75" customHeight="1" x14ac:dyDescent="0.35">
      <c r="A7" s="123" t="s">
        <v>135</v>
      </c>
      <c r="B7" s="140" t="s">
        <v>99</v>
      </c>
      <c r="C7" s="140" t="s">
        <v>136</v>
      </c>
      <c r="D7" s="130">
        <v>543312</v>
      </c>
      <c r="F7" s="142"/>
      <c r="G7" s="142"/>
    </row>
    <row r="8" spans="1:7" s="141" customFormat="1" ht="9.75" customHeight="1" x14ac:dyDescent="0.35">
      <c r="A8" s="123" t="s">
        <v>137</v>
      </c>
      <c r="B8" s="140" t="s">
        <v>55</v>
      </c>
      <c r="C8" s="140" t="s">
        <v>138</v>
      </c>
      <c r="D8" s="130">
        <v>461126</v>
      </c>
      <c r="F8" s="142"/>
      <c r="G8" s="142"/>
    </row>
    <row r="9" spans="1:7" s="141" customFormat="1" ht="9.75" customHeight="1" x14ac:dyDescent="0.35">
      <c r="A9" s="123" t="s">
        <v>139</v>
      </c>
      <c r="B9" s="140" t="s">
        <v>99</v>
      </c>
      <c r="C9" s="140" t="s">
        <v>130</v>
      </c>
      <c r="D9" s="130">
        <v>339362</v>
      </c>
      <c r="F9" s="142"/>
      <c r="G9" s="142"/>
    </row>
    <row r="10" spans="1:7" s="141" customFormat="1" ht="9.75" customHeight="1" x14ac:dyDescent="0.35">
      <c r="A10" s="123" t="s">
        <v>140</v>
      </c>
      <c r="B10" s="140" t="s">
        <v>99</v>
      </c>
      <c r="C10" s="140" t="s">
        <v>132</v>
      </c>
      <c r="D10" s="130">
        <v>307995</v>
      </c>
      <c r="F10" s="142"/>
      <c r="G10" s="142"/>
    </row>
    <row r="11" spans="1:7" s="141" customFormat="1" ht="9.75" customHeight="1" x14ac:dyDescent="0.35">
      <c r="A11" s="123" t="s">
        <v>141</v>
      </c>
      <c r="B11" s="140" t="s">
        <v>99</v>
      </c>
      <c r="C11" s="140" t="s">
        <v>134</v>
      </c>
      <c r="D11" s="130">
        <v>283588</v>
      </c>
      <c r="F11" s="142"/>
      <c r="G11" s="142"/>
    </row>
    <row r="12" spans="1:7" s="141" customFormat="1" ht="9.75" customHeight="1" x14ac:dyDescent="0.35">
      <c r="A12" s="123" t="s">
        <v>142</v>
      </c>
      <c r="B12" s="140" t="s">
        <v>143</v>
      </c>
      <c r="C12" s="140" t="s">
        <v>132</v>
      </c>
      <c r="D12" s="130">
        <v>262280</v>
      </c>
      <c r="F12" s="142"/>
      <c r="G12" s="142"/>
    </row>
    <row r="13" spans="1:7" s="141" customFormat="1" ht="9.75" customHeight="1" x14ac:dyDescent="0.35">
      <c r="A13" s="123" t="s">
        <v>144</v>
      </c>
      <c r="B13" s="140" t="s">
        <v>99</v>
      </c>
      <c r="C13" s="140" t="s">
        <v>130</v>
      </c>
      <c r="D13" s="130">
        <v>259352</v>
      </c>
      <c r="F13" s="142"/>
      <c r="G13" s="142"/>
    </row>
    <row r="14" spans="1:7" s="141" customFormat="1" ht="9.75" customHeight="1" x14ac:dyDescent="0.35">
      <c r="A14" s="123" t="s">
        <v>145</v>
      </c>
      <c r="B14" s="140" t="s">
        <v>99</v>
      </c>
      <c r="C14" s="140" t="s">
        <v>146</v>
      </c>
      <c r="D14" s="130">
        <v>259308</v>
      </c>
      <c r="F14" s="142"/>
      <c r="G14" s="142"/>
    </row>
    <row r="15" spans="1:7" s="141" customFormat="1" ht="9.75" customHeight="1" x14ac:dyDescent="0.35">
      <c r="A15" s="123" t="s">
        <v>147</v>
      </c>
      <c r="B15" s="140" t="s">
        <v>99</v>
      </c>
      <c r="C15" s="140" t="s">
        <v>134</v>
      </c>
      <c r="D15" s="130">
        <v>243837</v>
      </c>
      <c r="F15" s="142"/>
      <c r="G15" s="142"/>
    </row>
    <row r="16" spans="1:7" s="141" customFormat="1" ht="9.75" customHeight="1" x14ac:dyDescent="0.35">
      <c r="A16" s="123" t="s">
        <v>148</v>
      </c>
      <c r="B16" s="140" t="s">
        <v>99</v>
      </c>
      <c r="C16" s="140" t="s">
        <v>134</v>
      </c>
      <c r="D16" s="130">
        <v>242152</v>
      </c>
      <c r="F16" s="142"/>
      <c r="G16" s="142"/>
    </row>
    <row r="17" spans="1:7" s="141" customFormat="1" ht="9.75" customHeight="1" x14ac:dyDescent="0.35">
      <c r="A17" s="123" t="s">
        <v>149</v>
      </c>
      <c r="B17" s="140" t="s">
        <v>99</v>
      </c>
      <c r="C17" s="140" t="s">
        <v>134</v>
      </c>
      <c r="D17" s="130">
        <v>236815</v>
      </c>
      <c r="F17" s="142"/>
      <c r="G17" s="142"/>
    </row>
    <row r="18" spans="1:7" s="141" customFormat="1" ht="9.75" customHeight="1" x14ac:dyDescent="0.35">
      <c r="A18" s="123" t="s">
        <v>150</v>
      </c>
      <c r="B18" s="140" t="s">
        <v>55</v>
      </c>
      <c r="C18" s="140" t="s">
        <v>138</v>
      </c>
      <c r="D18" s="130">
        <v>230827</v>
      </c>
      <c r="F18" s="142"/>
      <c r="G18" s="142"/>
    </row>
    <row r="19" spans="1:7" s="141" customFormat="1" ht="9.75" customHeight="1" x14ac:dyDescent="0.35">
      <c r="A19" s="123" t="s">
        <v>151</v>
      </c>
      <c r="B19" s="140" t="s">
        <v>58</v>
      </c>
      <c r="C19" s="140" t="s">
        <v>138</v>
      </c>
      <c r="D19" s="130">
        <v>229928</v>
      </c>
      <c r="F19" s="142"/>
      <c r="G19" s="142"/>
    </row>
    <row r="20" spans="1:7" s="141" customFormat="1" ht="9.75" customHeight="1" x14ac:dyDescent="0.35">
      <c r="A20" s="123" t="s">
        <v>152</v>
      </c>
      <c r="B20" s="140" t="s">
        <v>99</v>
      </c>
      <c r="C20" s="140" t="s">
        <v>153</v>
      </c>
      <c r="D20" s="130">
        <v>212472</v>
      </c>
      <c r="F20" s="142"/>
      <c r="G20" s="142"/>
    </row>
    <row r="21" spans="1:7" s="141" customFormat="1" ht="9.75" customHeight="1" x14ac:dyDescent="0.35">
      <c r="A21" s="123" t="s">
        <v>154</v>
      </c>
      <c r="B21" s="140" t="s">
        <v>99</v>
      </c>
      <c r="C21" s="140" t="s">
        <v>138</v>
      </c>
      <c r="D21" s="130">
        <v>160328</v>
      </c>
      <c r="F21" s="142"/>
      <c r="G21" s="142"/>
    </row>
    <row r="22" spans="1:7" s="141" customFormat="1" ht="9.75" customHeight="1" x14ac:dyDescent="0.35">
      <c r="A22" s="123" t="s">
        <v>155</v>
      </c>
      <c r="B22" s="140" t="s">
        <v>99</v>
      </c>
      <c r="C22" s="140" t="s">
        <v>132</v>
      </c>
      <c r="D22" s="130">
        <v>157993</v>
      </c>
      <c r="F22" s="142"/>
      <c r="G22" s="142"/>
    </row>
    <row r="23" spans="1:7" s="141" customFormat="1" ht="9.75" customHeight="1" x14ac:dyDescent="0.35">
      <c r="A23" s="123" t="s">
        <v>156</v>
      </c>
      <c r="B23" s="140" t="s">
        <v>99</v>
      </c>
      <c r="C23" s="140" t="s">
        <v>134</v>
      </c>
      <c r="D23" s="130">
        <v>154045</v>
      </c>
      <c r="F23" s="142"/>
      <c r="G23" s="142"/>
    </row>
    <row r="24" spans="1:7" s="141" customFormat="1" ht="9.75" customHeight="1" x14ac:dyDescent="0.35">
      <c r="A24" s="123" t="s">
        <v>157</v>
      </c>
      <c r="B24" s="140" t="s">
        <v>158</v>
      </c>
      <c r="C24" s="140" t="s">
        <v>159</v>
      </c>
      <c r="D24" s="130">
        <v>144141</v>
      </c>
      <c r="F24" s="142"/>
      <c r="G24" s="142"/>
    </row>
    <row r="25" spans="1:7" s="141" customFormat="1" ht="9.75" customHeight="1" x14ac:dyDescent="0.35">
      <c r="A25" s="123" t="s">
        <v>160</v>
      </c>
      <c r="B25" s="140" t="s">
        <v>99</v>
      </c>
      <c r="C25" s="140" t="s">
        <v>130</v>
      </c>
      <c r="D25" s="130">
        <v>141071</v>
      </c>
      <c r="F25" s="142"/>
      <c r="G25" s="142"/>
    </row>
    <row r="26" spans="1:7" s="141" customFormat="1" ht="9.75" customHeight="1" x14ac:dyDescent="0.35">
      <c r="A26" s="123" t="s">
        <v>161</v>
      </c>
      <c r="B26" s="140" t="s">
        <v>69</v>
      </c>
      <c r="C26" s="140" t="s">
        <v>138</v>
      </c>
      <c r="D26" s="130">
        <v>140052</v>
      </c>
      <c r="F26" s="142"/>
      <c r="G26" s="142"/>
    </row>
    <row r="27" spans="1:7" s="141" customFormat="1" ht="9.75" customHeight="1" x14ac:dyDescent="0.35">
      <c r="A27" s="123" t="s">
        <v>162</v>
      </c>
      <c r="B27" s="140" t="s">
        <v>99</v>
      </c>
      <c r="C27" s="140" t="s">
        <v>146</v>
      </c>
      <c r="D27" s="130">
        <v>134363</v>
      </c>
      <c r="F27" s="142"/>
      <c r="G27" s="142"/>
    </row>
    <row r="28" spans="1:7" s="141" customFormat="1" ht="9.75" customHeight="1" x14ac:dyDescent="0.35">
      <c r="A28" s="123" t="s">
        <v>163</v>
      </c>
      <c r="B28" s="140" t="s">
        <v>99</v>
      </c>
      <c r="C28" s="140" t="s">
        <v>146</v>
      </c>
      <c r="D28" s="130">
        <v>126697</v>
      </c>
      <c r="F28" s="142"/>
      <c r="G28" s="142"/>
    </row>
    <row r="29" spans="1:7" s="141" customFormat="1" ht="9.75" customHeight="1" x14ac:dyDescent="0.35">
      <c r="A29" s="123" t="s">
        <v>164</v>
      </c>
      <c r="B29" s="140" t="s">
        <v>99</v>
      </c>
      <c r="C29" s="140" t="s">
        <v>130</v>
      </c>
      <c r="D29" s="130">
        <v>123031</v>
      </c>
      <c r="F29" s="142"/>
      <c r="G29" s="142"/>
    </row>
    <row r="30" spans="1:7" s="141" customFormat="1" ht="9.75" customHeight="1" x14ac:dyDescent="0.35">
      <c r="A30" s="123" t="s">
        <v>165</v>
      </c>
      <c r="B30" s="140" t="s">
        <v>58</v>
      </c>
      <c r="C30" s="140" t="s">
        <v>132</v>
      </c>
      <c r="D30" s="130">
        <v>120103</v>
      </c>
      <c r="F30" s="142"/>
      <c r="G30" s="142"/>
    </row>
    <row r="31" spans="1:7" s="141" customFormat="1" ht="9.75" customHeight="1" x14ac:dyDescent="0.35">
      <c r="A31" s="123" t="s">
        <v>166</v>
      </c>
      <c r="B31" s="140" t="s">
        <v>99</v>
      </c>
      <c r="C31" s="140" t="s">
        <v>132</v>
      </c>
      <c r="D31" s="130">
        <v>108526</v>
      </c>
      <c r="F31" s="142"/>
      <c r="G31" s="142"/>
    </row>
    <row r="32" spans="1:7" s="141" customFormat="1" ht="9.75" customHeight="1" x14ac:dyDescent="0.35">
      <c r="A32" s="123" t="s">
        <v>167</v>
      </c>
      <c r="B32" s="140" t="s">
        <v>82</v>
      </c>
      <c r="C32" s="140" t="s">
        <v>138</v>
      </c>
      <c r="D32" s="130">
        <v>105983</v>
      </c>
      <c r="F32" s="142"/>
      <c r="G32" s="142"/>
    </row>
    <row r="33" spans="1:7" s="141" customFormat="1" ht="9.75" customHeight="1" x14ac:dyDescent="0.35">
      <c r="A33" s="123" t="s">
        <v>168</v>
      </c>
      <c r="B33" s="140" t="s">
        <v>99</v>
      </c>
      <c r="C33" s="140" t="s">
        <v>169</v>
      </c>
      <c r="D33" s="130">
        <v>105732</v>
      </c>
      <c r="F33" s="142"/>
      <c r="G33" s="142"/>
    </row>
    <row r="34" spans="1:7" s="141" customFormat="1" ht="9.75" customHeight="1" x14ac:dyDescent="0.35">
      <c r="A34" s="123" t="s">
        <v>170</v>
      </c>
      <c r="B34" s="140" t="s">
        <v>99</v>
      </c>
      <c r="C34" s="140" t="s">
        <v>146</v>
      </c>
      <c r="D34" s="130">
        <v>99827</v>
      </c>
      <c r="F34" s="142"/>
      <c r="G34" s="142"/>
    </row>
    <row r="35" spans="1:7" s="141" customFormat="1" ht="9.75" customHeight="1" x14ac:dyDescent="0.35">
      <c r="A35" s="123" t="s">
        <v>171</v>
      </c>
      <c r="B35" s="140" t="s">
        <v>99</v>
      </c>
      <c r="C35" s="140" t="s">
        <v>153</v>
      </c>
      <c r="D35" s="130">
        <v>99261</v>
      </c>
      <c r="F35" s="142"/>
      <c r="G35" s="142"/>
    </row>
    <row r="36" spans="1:7" s="141" customFormat="1" ht="9.75" customHeight="1" x14ac:dyDescent="0.35">
      <c r="A36" s="123" t="s">
        <v>172</v>
      </c>
      <c r="B36" s="140" t="s">
        <v>99</v>
      </c>
      <c r="C36" s="140" t="s">
        <v>136</v>
      </c>
      <c r="D36" s="130">
        <v>98784</v>
      </c>
      <c r="F36" s="142"/>
      <c r="G36" s="142"/>
    </row>
    <row r="37" spans="1:7" s="141" customFormat="1" ht="9.75" customHeight="1" x14ac:dyDescent="0.35">
      <c r="A37" s="123" t="s">
        <v>173</v>
      </c>
      <c r="B37" s="140" t="s">
        <v>99</v>
      </c>
      <c r="C37" s="140" t="s">
        <v>132</v>
      </c>
      <c r="D37" s="130">
        <v>97219</v>
      </c>
      <c r="F37" s="142"/>
      <c r="G37" s="142"/>
    </row>
    <row r="38" spans="1:7" s="141" customFormat="1" ht="9.75" customHeight="1" x14ac:dyDescent="0.35">
      <c r="A38" s="123" t="s">
        <v>174</v>
      </c>
      <c r="B38" s="140" t="s">
        <v>99</v>
      </c>
      <c r="C38" s="140" t="s">
        <v>138</v>
      </c>
      <c r="D38" s="130">
        <v>93761</v>
      </c>
      <c r="F38" s="142"/>
      <c r="G38" s="142"/>
    </row>
    <row r="39" spans="1:7" s="141" customFormat="1" ht="9.75" customHeight="1" x14ac:dyDescent="0.35">
      <c r="A39" s="123" t="s">
        <v>175</v>
      </c>
      <c r="B39" s="140" t="s">
        <v>99</v>
      </c>
      <c r="C39" s="140" t="s">
        <v>134</v>
      </c>
      <c r="D39" s="130">
        <v>92872</v>
      </c>
      <c r="F39" s="142"/>
      <c r="G39" s="142"/>
    </row>
    <row r="40" spans="1:7" s="141" customFormat="1" ht="9.75" customHeight="1" x14ac:dyDescent="0.35">
      <c r="A40" s="123" t="s">
        <v>176</v>
      </c>
      <c r="B40" s="140" t="s">
        <v>99</v>
      </c>
      <c r="C40" s="140" t="s">
        <v>134</v>
      </c>
      <c r="D40" s="130">
        <v>92625</v>
      </c>
      <c r="F40" s="142"/>
      <c r="G40" s="142"/>
    </row>
    <row r="41" spans="1:7" s="141" customFormat="1" ht="9.75" customHeight="1" x14ac:dyDescent="0.35">
      <c r="A41" s="123" t="s">
        <v>177</v>
      </c>
      <c r="B41" s="140" t="s">
        <v>99</v>
      </c>
      <c r="C41" s="140" t="s">
        <v>146</v>
      </c>
      <c r="D41" s="130">
        <v>92213</v>
      </c>
      <c r="F41" s="142"/>
      <c r="G41" s="142"/>
    </row>
    <row r="42" spans="1:7" s="141" customFormat="1" ht="9.75" customHeight="1" x14ac:dyDescent="0.35">
      <c r="A42" s="123" t="s">
        <v>178</v>
      </c>
      <c r="B42" s="140" t="s">
        <v>99</v>
      </c>
      <c r="C42" s="140" t="s">
        <v>132</v>
      </c>
      <c r="D42" s="130">
        <v>88284</v>
      </c>
      <c r="F42" s="142"/>
      <c r="G42" s="142"/>
    </row>
    <row r="43" spans="1:7" s="141" customFormat="1" ht="9.75" customHeight="1" x14ac:dyDescent="0.35">
      <c r="A43" s="123" t="s">
        <v>179</v>
      </c>
      <c r="B43" s="140" t="s">
        <v>99</v>
      </c>
      <c r="C43" s="140" t="s">
        <v>138</v>
      </c>
      <c r="D43" s="130">
        <v>86774</v>
      </c>
      <c r="F43" s="142"/>
      <c r="G43" s="142"/>
    </row>
    <row r="44" spans="1:7" s="141" customFormat="1" ht="9.75" customHeight="1" x14ac:dyDescent="0.35">
      <c r="A44" s="123" t="s">
        <v>180</v>
      </c>
      <c r="B44" s="140" t="s">
        <v>99</v>
      </c>
      <c r="C44" s="140" t="s">
        <v>153</v>
      </c>
      <c r="D44" s="130">
        <v>83063</v>
      </c>
      <c r="F44" s="142"/>
      <c r="G44" s="142"/>
    </row>
    <row r="45" spans="1:7" s="141" customFormat="1" ht="9.75" customHeight="1" x14ac:dyDescent="0.35">
      <c r="A45" s="123" t="s">
        <v>181</v>
      </c>
      <c r="B45" s="140" t="s">
        <v>99</v>
      </c>
      <c r="C45" s="140" t="s">
        <v>134</v>
      </c>
      <c r="D45" s="130">
        <v>79144</v>
      </c>
      <c r="F45" s="142"/>
      <c r="G45" s="142"/>
    </row>
    <row r="46" spans="1:7" s="141" customFormat="1" ht="9.75" customHeight="1" x14ac:dyDescent="0.35">
      <c r="A46" s="123" t="s">
        <v>182</v>
      </c>
      <c r="B46" s="140" t="s">
        <v>99</v>
      </c>
      <c r="C46" s="140" t="s">
        <v>146</v>
      </c>
      <c r="D46" s="130">
        <v>76620</v>
      </c>
      <c r="F46" s="142"/>
      <c r="G46" s="142"/>
    </row>
    <row r="47" spans="1:7" s="141" customFormat="1" ht="9.75" customHeight="1" x14ac:dyDescent="0.35">
      <c r="A47" s="123" t="s">
        <v>183</v>
      </c>
      <c r="B47" s="140" t="s">
        <v>55</v>
      </c>
      <c r="C47" s="140" t="s">
        <v>138</v>
      </c>
      <c r="D47" s="130">
        <v>74502</v>
      </c>
      <c r="F47" s="142"/>
      <c r="G47" s="142"/>
    </row>
    <row r="48" spans="1:7" s="141" customFormat="1" ht="9.75" customHeight="1" x14ac:dyDescent="0.35">
      <c r="A48" s="123" t="s">
        <v>184</v>
      </c>
      <c r="B48" s="140" t="s">
        <v>99</v>
      </c>
      <c r="C48" s="140" t="s">
        <v>134</v>
      </c>
      <c r="D48" s="130">
        <v>74195</v>
      </c>
      <c r="F48" s="142"/>
      <c r="G48" s="142"/>
    </row>
    <row r="49" spans="1:7" s="141" customFormat="1" ht="9.75" customHeight="1" x14ac:dyDescent="0.35">
      <c r="A49" s="123" t="s">
        <v>185</v>
      </c>
      <c r="B49" s="140" t="s">
        <v>99</v>
      </c>
      <c r="C49" s="140" t="s">
        <v>134</v>
      </c>
      <c r="D49" s="130">
        <v>71803</v>
      </c>
      <c r="F49" s="142"/>
      <c r="G49" s="142"/>
    </row>
    <row r="50" spans="1:7" s="141" customFormat="1" ht="9.75" customHeight="1" x14ac:dyDescent="0.35">
      <c r="A50" s="123" t="s">
        <v>186</v>
      </c>
      <c r="B50" s="140" t="s">
        <v>99</v>
      </c>
      <c r="C50" s="140" t="s">
        <v>187</v>
      </c>
      <c r="D50" s="130">
        <v>69810</v>
      </c>
      <c r="F50" s="142"/>
      <c r="G50" s="142"/>
    </row>
    <row r="51" spans="1:7" s="141" customFormat="1" ht="9.75" customHeight="1" x14ac:dyDescent="0.35">
      <c r="A51" s="123" t="s">
        <v>188</v>
      </c>
      <c r="B51" s="140" t="s">
        <v>58</v>
      </c>
      <c r="C51" s="140" t="s">
        <v>169</v>
      </c>
      <c r="D51" s="130">
        <v>69309</v>
      </c>
      <c r="F51" s="142"/>
      <c r="G51" s="142"/>
    </row>
    <row r="52" spans="1:7" s="141" customFormat="1" ht="9.75" customHeight="1" x14ac:dyDescent="0.35">
      <c r="A52" s="123" t="s">
        <v>189</v>
      </c>
      <c r="B52" s="140" t="s">
        <v>99</v>
      </c>
      <c r="C52" s="140" t="s">
        <v>132</v>
      </c>
      <c r="D52" s="130">
        <v>67141</v>
      </c>
      <c r="F52" s="142"/>
      <c r="G52" s="142"/>
    </row>
    <row r="53" spans="1:7" s="141" customFormat="1" ht="9.75" customHeight="1" x14ac:dyDescent="0.35">
      <c r="A53" s="123" t="s">
        <v>190</v>
      </c>
      <c r="B53" s="140" t="s">
        <v>158</v>
      </c>
      <c r="C53" s="140" t="s">
        <v>146</v>
      </c>
      <c r="D53" s="130">
        <v>66910</v>
      </c>
      <c r="F53" s="142"/>
      <c r="G53" s="142"/>
    </row>
    <row r="54" spans="1:7" ht="9.75" customHeight="1" x14ac:dyDescent="0.25">
      <c r="D54" s="130"/>
    </row>
    <row r="55" spans="1:7" ht="19.5" customHeight="1" x14ac:dyDescent="0.25">
      <c r="A55" s="143" t="s">
        <v>191</v>
      </c>
      <c r="B55" s="143"/>
      <c r="C55" s="143"/>
      <c r="D55" s="143"/>
      <c r="E55" s="132"/>
    </row>
    <row r="56" spans="1:7" ht="9.75" customHeight="1" x14ac:dyDescent="0.25"/>
    <row r="57" spans="1:7" ht="12" customHeight="1" x14ac:dyDescent="0.25"/>
  </sheetData>
  <mergeCells count="2">
    <mergeCell ref="A1:D1"/>
    <mergeCell ref="A55:D55"/>
  </mergeCells>
  <printOptions horizontalCentered="1"/>
  <pageMargins left="0.78740157480314998" right="0.78740157480314998" top="0.78740157480314898" bottom="0.78740157480314898" header="0.511811023622047" footer="0.511811023622047"/>
  <pageSetup paperSize="0" fitToWidth="0" fitToHeight="0" orientation="portrait" horizontalDpi="0" verticalDpi="0" copies="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workbookViewId="0"/>
  </sheetViews>
  <sheetFormatPr baseColWidth="10" defaultColWidth="9.77734375" defaultRowHeight="9" x14ac:dyDescent="0.25"/>
  <cols>
    <col min="1" max="1" width="33.5546875" style="123" customWidth="1"/>
    <col min="2" max="4" width="12.44140625" style="123" customWidth="1"/>
    <col min="5" max="5" width="9.77734375" style="123" customWidth="1"/>
    <col min="6" max="16384" width="9.77734375" style="123"/>
  </cols>
  <sheetData>
    <row r="1" spans="1:6" s="114" customFormat="1" ht="11.65" x14ac:dyDescent="0.35">
      <c r="A1" s="133" t="s">
        <v>9</v>
      </c>
      <c r="B1" s="133"/>
      <c r="C1" s="133"/>
      <c r="D1" s="133"/>
      <c r="E1" s="113"/>
      <c r="F1" s="113"/>
    </row>
    <row r="2" spans="1:6" s="114" customFormat="1" ht="11.65" x14ac:dyDescent="0.35">
      <c r="A2" s="115"/>
      <c r="B2" s="115"/>
      <c r="C2" s="115"/>
      <c r="D2" s="115"/>
      <c r="E2" s="117"/>
    </row>
    <row r="3" spans="1:6" ht="12.75" customHeight="1" x14ac:dyDescent="0.25">
      <c r="A3" s="139" t="s">
        <v>127</v>
      </c>
      <c r="B3" s="119" t="s">
        <v>128</v>
      </c>
      <c r="C3" s="120" t="s">
        <v>192</v>
      </c>
      <c r="D3" s="120" t="s">
        <v>193</v>
      </c>
    </row>
    <row r="4" spans="1:6" s="145" customFormat="1" ht="15" customHeight="1" x14ac:dyDescent="0.25">
      <c r="A4" s="50" t="s">
        <v>161</v>
      </c>
      <c r="B4" s="50" t="s">
        <v>138</v>
      </c>
      <c r="C4" s="144">
        <v>140052</v>
      </c>
      <c r="D4" s="144">
        <v>140052</v>
      </c>
    </row>
    <row r="5" spans="1:6" s="145" customFormat="1" ht="9.75" customHeight="1" x14ac:dyDescent="0.25">
      <c r="A5" s="145" t="s">
        <v>194</v>
      </c>
      <c r="B5" s="145" t="s">
        <v>195</v>
      </c>
      <c r="C5" s="144">
        <v>46009</v>
      </c>
      <c r="D5" s="144">
        <v>46479</v>
      </c>
    </row>
    <row r="6" spans="1:6" s="145" customFormat="1" ht="9.75" customHeight="1" x14ac:dyDescent="0.25">
      <c r="A6" s="145" t="s">
        <v>196</v>
      </c>
      <c r="B6" s="50" t="s">
        <v>197</v>
      </c>
      <c r="C6" s="144">
        <v>42377</v>
      </c>
      <c r="D6" s="144">
        <v>55067</v>
      </c>
    </row>
    <row r="7" spans="1:6" s="145" customFormat="1" ht="9.75" customHeight="1" x14ac:dyDescent="0.25">
      <c r="A7" s="145" t="s">
        <v>198</v>
      </c>
      <c r="B7" s="145" t="s">
        <v>138</v>
      </c>
      <c r="C7" s="144">
        <v>25418</v>
      </c>
      <c r="D7" s="144">
        <v>81781</v>
      </c>
    </row>
    <row r="8" spans="1:6" s="145" customFormat="1" ht="9.75" customHeight="1" x14ac:dyDescent="0.25">
      <c r="A8" s="145" t="s">
        <v>199</v>
      </c>
      <c r="B8" s="145" t="s">
        <v>146</v>
      </c>
      <c r="C8" s="144">
        <v>24497</v>
      </c>
      <c r="D8" s="144">
        <v>24497</v>
      </c>
    </row>
    <row r="9" spans="1:6" s="145" customFormat="1" ht="9.75" customHeight="1" x14ac:dyDescent="0.25">
      <c r="A9" s="145" t="s">
        <v>200</v>
      </c>
      <c r="B9" s="50" t="s">
        <v>197</v>
      </c>
      <c r="C9" s="144">
        <v>17289</v>
      </c>
      <c r="D9" s="144">
        <v>34740</v>
      </c>
    </row>
    <row r="10" spans="1:6" s="145" customFormat="1" ht="9.75" customHeight="1" x14ac:dyDescent="0.25">
      <c r="A10" s="145" t="s">
        <v>201</v>
      </c>
      <c r="B10" s="50" t="s">
        <v>138</v>
      </c>
      <c r="C10" s="144">
        <v>16505</v>
      </c>
      <c r="D10" s="144">
        <v>16505</v>
      </c>
    </row>
    <row r="11" spans="1:6" s="145" customFormat="1" ht="9.75" customHeight="1" x14ac:dyDescent="0.25">
      <c r="A11" s="145" t="s">
        <v>202</v>
      </c>
      <c r="B11" s="50" t="s">
        <v>138</v>
      </c>
      <c r="C11" s="144">
        <v>12521</v>
      </c>
      <c r="D11" s="144">
        <v>12521</v>
      </c>
    </row>
    <row r="12" spans="1:6" s="145" customFormat="1" ht="9.75" customHeight="1" x14ac:dyDescent="0.25">
      <c r="A12" s="145" t="s">
        <v>203</v>
      </c>
      <c r="B12" s="145" t="s">
        <v>197</v>
      </c>
      <c r="C12" s="144">
        <v>11862</v>
      </c>
      <c r="D12" s="144">
        <v>40750</v>
      </c>
    </row>
    <row r="13" spans="1:6" s="145" customFormat="1" ht="9.75" customHeight="1" x14ac:dyDescent="0.25">
      <c r="A13" s="145" t="s">
        <v>204</v>
      </c>
      <c r="B13" s="50" t="s">
        <v>146</v>
      </c>
      <c r="C13" s="144">
        <v>11360</v>
      </c>
      <c r="D13" s="144">
        <v>11360</v>
      </c>
    </row>
    <row r="14" spans="1:6" s="145" customFormat="1" ht="9.75" customHeight="1" x14ac:dyDescent="0.25">
      <c r="A14" s="145" t="s">
        <v>205</v>
      </c>
      <c r="B14" s="145" t="s">
        <v>146</v>
      </c>
      <c r="C14" s="144">
        <v>11289</v>
      </c>
      <c r="D14" s="144">
        <v>11289</v>
      </c>
    </row>
    <row r="15" spans="1:6" s="145" customFormat="1" ht="9.75" customHeight="1" x14ac:dyDescent="0.25">
      <c r="A15" s="145" t="s">
        <v>206</v>
      </c>
      <c r="B15" s="145" t="s">
        <v>138</v>
      </c>
      <c r="C15" s="144">
        <v>8621</v>
      </c>
      <c r="D15" s="144">
        <v>12663</v>
      </c>
    </row>
    <row r="16" spans="1:6" s="145" customFormat="1" ht="9.75" customHeight="1" x14ac:dyDescent="0.25">
      <c r="A16" s="145" t="s">
        <v>207</v>
      </c>
      <c r="B16" s="145" t="s">
        <v>197</v>
      </c>
      <c r="C16" s="144">
        <v>6620</v>
      </c>
      <c r="D16" s="144">
        <v>6620</v>
      </c>
    </row>
    <row r="17" spans="1:4" s="145" customFormat="1" ht="9.75" customHeight="1" x14ac:dyDescent="0.25">
      <c r="A17" s="145" t="s">
        <v>208</v>
      </c>
      <c r="B17" s="50" t="s">
        <v>197</v>
      </c>
      <c r="C17" s="144">
        <v>5991</v>
      </c>
      <c r="D17" s="144">
        <v>5991</v>
      </c>
    </row>
    <row r="18" spans="1:4" s="145" customFormat="1" ht="9.75" customHeight="1" x14ac:dyDescent="0.25">
      <c r="A18" s="145" t="s">
        <v>209</v>
      </c>
      <c r="B18" s="145" t="s">
        <v>146</v>
      </c>
      <c r="C18" s="144">
        <v>5754</v>
      </c>
      <c r="D18" s="144">
        <v>5754</v>
      </c>
    </row>
    <row r="19" spans="1:4" s="145" customFormat="1" ht="9.75" customHeight="1" x14ac:dyDescent="0.25">
      <c r="A19" s="145" t="s">
        <v>210</v>
      </c>
      <c r="B19" s="145" t="s">
        <v>197</v>
      </c>
      <c r="C19" s="144">
        <v>5704</v>
      </c>
      <c r="D19" s="144">
        <v>5704</v>
      </c>
    </row>
    <row r="20" spans="1:4" s="145" customFormat="1" ht="9.75" customHeight="1" x14ac:dyDescent="0.25">
      <c r="A20" s="145" t="s">
        <v>211</v>
      </c>
      <c r="B20" s="145" t="s">
        <v>187</v>
      </c>
      <c r="C20" s="144">
        <v>5628</v>
      </c>
      <c r="D20" s="144">
        <v>6060</v>
      </c>
    </row>
    <row r="21" spans="1:4" s="145" customFormat="1" ht="9.75" customHeight="1" x14ac:dyDescent="0.25">
      <c r="A21" s="145" t="s">
        <v>212</v>
      </c>
      <c r="B21" s="145" t="s">
        <v>197</v>
      </c>
      <c r="C21" s="144">
        <v>5474</v>
      </c>
      <c r="D21" s="144">
        <v>5474</v>
      </c>
    </row>
    <row r="22" spans="1:4" s="145" customFormat="1" ht="9.75" customHeight="1" x14ac:dyDescent="0.25">
      <c r="A22" s="145" t="s">
        <v>213</v>
      </c>
      <c r="B22" s="145" t="s">
        <v>146</v>
      </c>
      <c r="C22" s="144">
        <v>5344</v>
      </c>
      <c r="D22" s="144">
        <v>5344</v>
      </c>
    </row>
    <row r="23" spans="1:4" s="145" customFormat="1" ht="9.75" customHeight="1" x14ac:dyDescent="0.25">
      <c r="A23" s="145" t="s">
        <v>214</v>
      </c>
      <c r="B23" s="145" t="s">
        <v>197</v>
      </c>
      <c r="C23" s="144">
        <v>3344</v>
      </c>
      <c r="D23" s="144">
        <v>5289</v>
      </c>
    </row>
    <row r="24" spans="1:4" s="145" customFormat="1" ht="9.75" customHeight="1" x14ac:dyDescent="0.25">
      <c r="A24" s="145" t="s">
        <v>215</v>
      </c>
      <c r="B24" s="145" t="s">
        <v>197</v>
      </c>
      <c r="C24" s="144">
        <v>2946</v>
      </c>
      <c r="D24" s="144">
        <v>2946</v>
      </c>
    </row>
    <row r="25" spans="1:4" s="145" customFormat="1" ht="9.75" customHeight="1" x14ac:dyDescent="0.25">
      <c r="A25" s="145" t="s">
        <v>216</v>
      </c>
      <c r="B25" s="145" t="s">
        <v>197</v>
      </c>
      <c r="C25" s="144">
        <v>2907</v>
      </c>
      <c r="D25" s="144">
        <v>2907</v>
      </c>
    </row>
    <row r="26" spans="1:4" s="145" customFormat="1" ht="9.75" customHeight="1" x14ac:dyDescent="0.25">
      <c r="A26" s="145" t="s">
        <v>217</v>
      </c>
      <c r="B26" s="145" t="s">
        <v>197</v>
      </c>
      <c r="C26" s="144">
        <v>2815</v>
      </c>
      <c r="D26" s="144">
        <v>2815</v>
      </c>
    </row>
    <row r="27" spans="1:4" s="145" customFormat="1" ht="9.75" customHeight="1" x14ac:dyDescent="0.25">
      <c r="A27" s="145" t="s">
        <v>218</v>
      </c>
      <c r="B27" s="145" t="s">
        <v>153</v>
      </c>
      <c r="C27" s="144">
        <v>2591</v>
      </c>
      <c r="D27" s="144">
        <v>2591</v>
      </c>
    </row>
    <row r="28" spans="1:4" s="145" customFormat="1" ht="9.75" customHeight="1" x14ac:dyDescent="0.25">
      <c r="A28" s="145" t="s">
        <v>219</v>
      </c>
      <c r="B28" s="145" t="s">
        <v>146</v>
      </c>
      <c r="C28" s="144">
        <v>2575</v>
      </c>
      <c r="D28" s="144">
        <v>2575</v>
      </c>
    </row>
    <row r="29" spans="1:4" s="145" customFormat="1" ht="9.75" customHeight="1" x14ac:dyDescent="0.25">
      <c r="A29" s="145" t="s">
        <v>220</v>
      </c>
      <c r="B29" s="145" t="s">
        <v>146</v>
      </c>
      <c r="C29" s="144">
        <v>2286</v>
      </c>
      <c r="D29" s="144">
        <v>2410</v>
      </c>
    </row>
    <row r="30" spans="1:4" s="145" customFormat="1" ht="9.75" customHeight="1" x14ac:dyDescent="0.25">
      <c r="A30" s="145" t="s">
        <v>221</v>
      </c>
      <c r="B30" s="145" t="s">
        <v>197</v>
      </c>
      <c r="C30" s="144">
        <v>2265</v>
      </c>
      <c r="D30" s="144">
        <v>2265</v>
      </c>
    </row>
    <row r="31" spans="1:4" s="145" customFormat="1" ht="9.75" customHeight="1" x14ac:dyDescent="0.25">
      <c r="A31" s="145" t="s">
        <v>222</v>
      </c>
      <c r="B31" s="145" t="s">
        <v>146</v>
      </c>
      <c r="C31" s="144">
        <v>1898</v>
      </c>
      <c r="D31" s="144">
        <v>2029</v>
      </c>
    </row>
    <row r="32" spans="1:4" s="145" customFormat="1" ht="9.75" customHeight="1" x14ac:dyDescent="0.25">
      <c r="A32" s="145" t="s">
        <v>223</v>
      </c>
      <c r="B32" s="145" t="s">
        <v>197</v>
      </c>
      <c r="C32" s="144">
        <v>1858</v>
      </c>
      <c r="D32" s="144">
        <v>1929</v>
      </c>
    </row>
    <row r="33" spans="1:5" s="145" customFormat="1" ht="9.75" customHeight="1" x14ac:dyDescent="0.25">
      <c r="A33" s="145" t="s">
        <v>224</v>
      </c>
      <c r="B33" s="145" t="s">
        <v>138</v>
      </c>
      <c r="C33" s="144">
        <v>1744</v>
      </c>
      <c r="D33" s="144">
        <v>58202</v>
      </c>
    </row>
    <row r="34" spans="1:5" s="145" customFormat="1" ht="9.75" customHeight="1" x14ac:dyDescent="0.25">
      <c r="A34" s="145" t="s">
        <v>225</v>
      </c>
      <c r="B34" s="145" t="s">
        <v>197</v>
      </c>
      <c r="C34" s="144">
        <v>1730</v>
      </c>
      <c r="D34" s="144">
        <v>1730</v>
      </c>
    </row>
    <row r="35" spans="1:5" s="145" customFormat="1" ht="9.75" customHeight="1" x14ac:dyDescent="0.25">
      <c r="A35" s="145" t="s">
        <v>226</v>
      </c>
      <c r="B35" s="145" t="s">
        <v>197</v>
      </c>
      <c r="C35" s="144">
        <v>1657</v>
      </c>
      <c r="D35" s="144">
        <v>1657</v>
      </c>
    </row>
    <row r="36" spans="1:5" s="145" customFormat="1" ht="9.75" customHeight="1" x14ac:dyDescent="0.25">
      <c r="A36" s="145" t="s">
        <v>227</v>
      </c>
      <c r="B36" s="145" t="s">
        <v>197</v>
      </c>
      <c r="C36" s="144">
        <v>1503</v>
      </c>
      <c r="D36" s="144">
        <v>1650</v>
      </c>
    </row>
    <row r="37" spans="1:5" s="145" customFormat="1" ht="9.75" customHeight="1" x14ac:dyDescent="0.25">
      <c r="A37" s="145" t="s">
        <v>228</v>
      </c>
      <c r="B37" s="145" t="s">
        <v>197</v>
      </c>
      <c r="C37" s="144">
        <v>1492</v>
      </c>
      <c r="D37" s="144">
        <v>1492</v>
      </c>
    </row>
    <row r="38" spans="1:5" s="145" customFormat="1" ht="9.75" customHeight="1" x14ac:dyDescent="0.25">
      <c r="A38" s="145" t="s">
        <v>229</v>
      </c>
      <c r="B38" s="145" t="s">
        <v>197</v>
      </c>
      <c r="C38" s="144">
        <v>1355</v>
      </c>
      <c r="D38" s="144">
        <v>1355</v>
      </c>
    </row>
    <row r="39" spans="1:5" s="145" customFormat="1" ht="9.75" customHeight="1" x14ac:dyDescent="0.25">
      <c r="A39" s="145" t="s">
        <v>230</v>
      </c>
      <c r="B39" s="145" t="s">
        <v>146</v>
      </c>
      <c r="C39" s="144">
        <v>1157</v>
      </c>
      <c r="D39" s="144">
        <v>4668</v>
      </c>
    </row>
    <row r="40" spans="1:5" ht="9.75" customHeight="1" x14ac:dyDescent="0.25">
      <c r="A40" s="123" t="s">
        <v>231</v>
      </c>
      <c r="B40" s="145" t="s">
        <v>136</v>
      </c>
      <c r="C40" s="130">
        <v>1106</v>
      </c>
      <c r="D40" s="130">
        <v>1106</v>
      </c>
    </row>
    <row r="41" spans="1:5" ht="9.75" customHeight="1" x14ac:dyDescent="0.25">
      <c r="B41" s="130"/>
      <c r="C41" s="130"/>
      <c r="D41" s="130"/>
    </row>
    <row r="42" spans="1:5" ht="29.25" customHeight="1" x14ac:dyDescent="0.25">
      <c r="A42" s="143" t="s">
        <v>232</v>
      </c>
      <c r="B42" s="143"/>
      <c r="C42" s="143"/>
      <c r="D42" s="143"/>
      <c r="E42" s="132"/>
    </row>
    <row r="43" spans="1:5" ht="9.75" customHeight="1" x14ac:dyDescent="0.25"/>
  </sheetData>
  <mergeCells count="2">
    <mergeCell ref="A1:D1"/>
    <mergeCell ref="A42:D42"/>
  </mergeCells>
  <printOptions horizontalCentered="1"/>
  <pageMargins left="0.78740157480314998" right="0.78740157480314998" top="0.78740157480314898" bottom="0.78740157480314898" header="0.511811023622047" footer="0.511811023622047"/>
  <pageSetup paperSize="0" fitToWidth="0" fitToHeight="0" orientation="portrait" horizontalDpi="0" verticalDpi="0" copies="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8"/>
  <sheetViews>
    <sheetView workbookViewId="0"/>
  </sheetViews>
  <sheetFormatPr baseColWidth="10" defaultColWidth="11.5546875" defaultRowHeight="9" x14ac:dyDescent="0.25"/>
  <cols>
    <col min="1" max="1" width="3.44140625" style="17" customWidth="1"/>
    <col min="2" max="2" width="5.33203125" style="17" customWidth="1"/>
    <col min="3" max="3" width="5.88671875" style="17" customWidth="1"/>
    <col min="4" max="4" width="5.33203125" style="17" customWidth="1"/>
    <col min="5" max="5" width="5.88671875" style="17" customWidth="1"/>
    <col min="6" max="6" width="5.33203125" style="17" customWidth="1"/>
    <col min="7" max="7" width="5.88671875" style="17" customWidth="1"/>
    <col min="8" max="8" width="5.33203125" style="17" customWidth="1"/>
    <col min="9" max="9" width="5.88671875" style="17" customWidth="1"/>
    <col min="10" max="10" width="5.33203125" style="17" customWidth="1"/>
    <col min="11" max="11" width="5.88671875" style="17" customWidth="1"/>
    <col min="12" max="12" width="5.33203125" style="17" customWidth="1"/>
    <col min="13" max="13" width="5.88671875" style="17" customWidth="1"/>
    <col min="14" max="14" width="11.5546875" style="17" customWidth="1"/>
    <col min="15" max="16384" width="11.5546875" style="17"/>
  </cols>
  <sheetData>
    <row r="1" spans="1:16" s="10" customFormat="1" ht="12" customHeight="1" x14ac:dyDescent="0.35">
      <c r="A1" s="54" t="s">
        <v>10</v>
      </c>
      <c r="B1" s="54"/>
      <c r="C1" s="54"/>
      <c r="D1" s="54"/>
      <c r="E1" s="54"/>
      <c r="F1" s="54"/>
      <c r="G1" s="54"/>
      <c r="H1" s="54"/>
      <c r="I1" s="54"/>
      <c r="J1" s="54"/>
      <c r="K1" s="54"/>
      <c r="L1" s="54"/>
      <c r="M1" s="54"/>
    </row>
    <row r="2" spans="1:16" s="10" customFormat="1" ht="12" customHeight="1" x14ac:dyDescent="0.35">
      <c r="A2" s="146"/>
      <c r="B2" s="146"/>
      <c r="C2" s="146"/>
      <c r="D2" s="147"/>
      <c r="E2" s="147"/>
      <c r="F2" s="147"/>
      <c r="G2" s="147"/>
      <c r="H2" s="147"/>
      <c r="I2" s="147"/>
      <c r="J2" s="147"/>
      <c r="K2" s="147"/>
      <c r="L2" s="147"/>
      <c r="M2" s="12"/>
    </row>
    <row r="3" spans="1:16" s="10" customFormat="1" ht="12.75" customHeight="1" x14ac:dyDescent="0.35">
      <c r="A3" s="65" t="s">
        <v>233</v>
      </c>
      <c r="B3" s="163" t="s">
        <v>234</v>
      </c>
      <c r="C3" s="163"/>
      <c r="D3" s="75" t="s">
        <v>235</v>
      </c>
      <c r="E3" s="75"/>
      <c r="F3" s="75"/>
      <c r="G3" s="75"/>
      <c r="H3" s="75"/>
      <c r="I3" s="75"/>
      <c r="J3" s="75"/>
      <c r="K3" s="75"/>
      <c r="L3" s="75"/>
      <c r="M3" s="75"/>
      <c r="N3" s="148"/>
      <c r="O3" s="148"/>
      <c r="P3" s="148"/>
    </row>
    <row r="4" spans="1:16" ht="25.5" customHeight="1" x14ac:dyDescent="0.25">
      <c r="A4" s="65"/>
      <c r="B4" s="163"/>
      <c r="C4" s="163"/>
      <c r="D4" s="164" t="s">
        <v>236</v>
      </c>
      <c r="E4" s="164"/>
      <c r="F4" s="164" t="s">
        <v>237</v>
      </c>
      <c r="G4" s="164"/>
      <c r="H4" s="164" t="s">
        <v>238</v>
      </c>
      <c r="I4" s="164"/>
      <c r="J4" s="164" t="s">
        <v>239</v>
      </c>
      <c r="K4" s="164"/>
      <c r="L4" s="165" t="s">
        <v>240</v>
      </c>
      <c r="M4" s="165"/>
    </row>
    <row r="5" spans="1:16" ht="38.25" customHeight="1" x14ac:dyDescent="0.25">
      <c r="A5" s="65"/>
      <c r="B5" s="14" t="s">
        <v>241</v>
      </c>
      <c r="C5" s="14" t="s">
        <v>242</v>
      </c>
      <c r="D5" s="14" t="s">
        <v>241</v>
      </c>
      <c r="E5" s="14" t="s">
        <v>242</v>
      </c>
      <c r="F5" s="14" t="s">
        <v>241</v>
      </c>
      <c r="G5" s="14" t="s">
        <v>242</v>
      </c>
      <c r="H5" s="14" t="s">
        <v>243</v>
      </c>
      <c r="I5" s="14" t="s">
        <v>242</v>
      </c>
      <c r="J5" s="14" t="s">
        <v>244</v>
      </c>
      <c r="K5" s="149" t="s">
        <v>242</v>
      </c>
      <c r="L5" s="14" t="s">
        <v>245</v>
      </c>
      <c r="M5" s="149" t="s">
        <v>242</v>
      </c>
    </row>
    <row r="6" spans="1:16" ht="12.75" customHeight="1" x14ac:dyDescent="0.25">
      <c r="A6" s="65"/>
      <c r="B6" s="165" t="s">
        <v>246</v>
      </c>
      <c r="C6" s="165"/>
      <c r="D6" s="165"/>
      <c r="E6" s="165"/>
      <c r="F6" s="165"/>
      <c r="G6" s="165"/>
      <c r="H6" s="165"/>
      <c r="I6" s="165"/>
      <c r="J6" s="165"/>
      <c r="K6" s="165"/>
      <c r="L6" s="165"/>
      <c r="M6" s="165"/>
    </row>
    <row r="7" spans="1:16" s="23" customFormat="1" ht="15" customHeight="1" x14ac:dyDescent="0.25">
      <c r="A7" s="44">
        <v>1981</v>
      </c>
      <c r="B7" s="150" t="s">
        <v>247</v>
      </c>
      <c r="C7" s="150" t="s">
        <v>247</v>
      </c>
      <c r="D7" s="151">
        <v>1918562.8220314963</v>
      </c>
      <c r="E7" s="152">
        <v>26162.220300429493</v>
      </c>
      <c r="F7" s="150" t="s">
        <v>51</v>
      </c>
      <c r="G7" s="150" t="s">
        <v>51</v>
      </c>
      <c r="H7" s="151">
        <v>1453456.6833571941</v>
      </c>
      <c r="I7" s="153" t="s">
        <v>248</v>
      </c>
      <c r="J7" s="150" t="s">
        <v>51</v>
      </c>
      <c r="K7" s="150" t="s">
        <v>51</v>
      </c>
      <c r="L7" s="150" t="s">
        <v>51</v>
      </c>
      <c r="M7" s="150" t="s">
        <v>51</v>
      </c>
    </row>
    <row r="8" spans="1:16" s="23" customFormat="1" ht="9.75" customHeight="1" x14ac:dyDescent="0.25">
      <c r="A8" s="44">
        <v>1982</v>
      </c>
      <c r="B8" s="150" t="s">
        <v>247</v>
      </c>
      <c r="C8" s="150" t="s">
        <v>247</v>
      </c>
      <c r="D8" s="151">
        <v>1495750.9647318735</v>
      </c>
      <c r="E8" s="151">
        <v>1431227.5168419292</v>
      </c>
      <c r="F8" s="150" t="s">
        <v>51</v>
      </c>
      <c r="G8" s="150" t="s">
        <v>51</v>
      </c>
      <c r="H8" s="151">
        <v>1453456.6833571941</v>
      </c>
      <c r="I8" s="153" t="s">
        <v>248</v>
      </c>
      <c r="J8" s="150" t="s">
        <v>51</v>
      </c>
      <c r="K8" s="150" t="s">
        <v>51</v>
      </c>
      <c r="L8" s="150" t="s">
        <v>51</v>
      </c>
      <c r="M8" s="150" t="s">
        <v>51</v>
      </c>
    </row>
    <row r="9" spans="1:16" s="23" customFormat="1" ht="9.75" customHeight="1" x14ac:dyDescent="0.25">
      <c r="A9" s="44">
        <v>1983</v>
      </c>
      <c r="B9" s="150" t="s">
        <v>247</v>
      </c>
      <c r="C9" s="150" t="s">
        <v>247</v>
      </c>
      <c r="D9" s="151">
        <v>1486377.4772352346</v>
      </c>
      <c r="E9" s="151">
        <v>1446280.2409831181</v>
      </c>
      <c r="F9" s="150" t="s">
        <v>51</v>
      </c>
      <c r="G9" s="150" t="s">
        <v>51</v>
      </c>
      <c r="H9" s="151">
        <v>1453456.6833571941</v>
      </c>
      <c r="I9" s="153" t="s">
        <v>248</v>
      </c>
      <c r="J9" s="150" t="s">
        <v>51</v>
      </c>
      <c r="K9" s="150" t="s">
        <v>51</v>
      </c>
      <c r="L9" s="150" t="s">
        <v>51</v>
      </c>
      <c r="M9" s="150" t="s">
        <v>51</v>
      </c>
    </row>
    <row r="10" spans="1:16" s="23" customFormat="1" ht="9.75" customHeight="1" x14ac:dyDescent="0.25">
      <c r="A10" s="44">
        <v>1984</v>
      </c>
      <c r="B10" s="150" t="s">
        <v>247</v>
      </c>
      <c r="C10" s="150" t="s">
        <v>247</v>
      </c>
      <c r="D10" s="151">
        <v>1230496.4281302006</v>
      </c>
      <c r="E10" s="151">
        <v>1965996.3954274252</v>
      </c>
      <c r="F10" s="150" t="s">
        <v>51</v>
      </c>
      <c r="G10" s="150" t="s">
        <v>51</v>
      </c>
      <c r="H10" s="151">
        <v>1453456.6833571941</v>
      </c>
      <c r="I10" s="153" t="s">
        <v>248</v>
      </c>
      <c r="J10" s="150" t="s">
        <v>51</v>
      </c>
      <c r="K10" s="150" t="s">
        <v>51</v>
      </c>
      <c r="L10" s="150" t="s">
        <v>51</v>
      </c>
      <c r="M10" s="150" t="s">
        <v>51</v>
      </c>
    </row>
    <row r="11" spans="1:16" s="23" customFormat="1" ht="9.75" customHeight="1" x14ac:dyDescent="0.25">
      <c r="A11" s="44">
        <v>1985</v>
      </c>
      <c r="B11" s="150" t="s">
        <v>247</v>
      </c>
      <c r="C11" s="150" t="s">
        <v>247</v>
      </c>
      <c r="D11" s="151">
        <v>1107461.3198840141</v>
      </c>
      <c r="E11" s="151">
        <v>1297543.3028349669</v>
      </c>
      <c r="F11" s="150" t="s">
        <v>51</v>
      </c>
      <c r="G11" s="150" t="s">
        <v>51</v>
      </c>
      <c r="H11" s="151">
        <v>1453456.6833571941</v>
      </c>
      <c r="I11" s="153" t="s">
        <v>248</v>
      </c>
      <c r="J11" s="150" t="s">
        <v>51</v>
      </c>
      <c r="K11" s="150" t="s">
        <v>51</v>
      </c>
      <c r="L11" s="150" t="s">
        <v>51</v>
      </c>
      <c r="M11" s="150" t="s">
        <v>51</v>
      </c>
    </row>
    <row r="12" spans="1:16" s="23" customFormat="1" ht="9.75" customHeight="1" x14ac:dyDescent="0.25">
      <c r="A12" s="44">
        <v>1986</v>
      </c>
      <c r="B12" s="150" t="s">
        <v>247</v>
      </c>
      <c r="C12" s="150" t="s">
        <v>247</v>
      </c>
      <c r="D12" s="151">
        <v>2180185.0250357911</v>
      </c>
      <c r="E12" s="152">
        <v>958683.54178324598</v>
      </c>
      <c r="F12" s="150" t="s">
        <v>51</v>
      </c>
      <c r="G12" s="150" t="s">
        <v>51</v>
      </c>
      <c r="H12" s="151">
        <v>1453456.6833571941</v>
      </c>
      <c r="I12" s="153" t="s">
        <v>248</v>
      </c>
      <c r="J12" s="150" t="s">
        <v>51</v>
      </c>
      <c r="K12" s="150" t="s">
        <v>51</v>
      </c>
      <c r="L12" s="150" t="s">
        <v>51</v>
      </c>
      <c r="M12" s="150" t="s">
        <v>51</v>
      </c>
    </row>
    <row r="13" spans="1:16" s="23" customFormat="1" ht="9.75" customHeight="1" x14ac:dyDescent="0.25">
      <c r="A13" s="44">
        <v>1987</v>
      </c>
      <c r="B13" s="150" t="s">
        <v>247</v>
      </c>
      <c r="C13" s="150" t="s">
        <v>247</v>
      </c>
      <c r="D13" s="151">
        <v>3172169.2114270763</v>
      </c>
      <c r="E13" s="151">
        <v>1709417.3535460709</v>
      </c>
      <c r="F13" s="150" t="s">
        <v>51</v>
      </c>
      <c r="G13" s="150" t="s">
        <v>51</v>
      </c>
      <c r="H13" s="151">
        <v>1453456.6833571941</v>
      </c>
      <c r="I13" s="153" t="s">
        <v>248</v>
      </c>
      <c r="J13" s="150" t="s">
        <v>51</v>
      </c>
      <c r="K13" s="150" t="s">
        <v>51</v>
      </c>
      <c r="L13" s="150" t="s">
        <v>51</v>
      </c>
      <c r="M13" s="150" t="s">
        <v>51</v>
      </c>
      <c r="N13" s="154"/>
    </row>
    <row r="14" spans="1:16" s="23" customFormat="1" ht="9.75" customHeight="1" x14ac:dyDescent="0.25">
      <c r="A14" s="44">
        <v>1988</v>
      </c>
      <c r="B14" s="150" t="s">
        <v>247</v>
      </c>
      <c r="C14" s="150" t="s">
        <v>247</v>
      </c>
      <c r="D14" s="151">
        <v>3172169.2114270763</v>
      </c>
      <c r="E14" s="151">
        <v>2163029.8612675592</v>
      </c>
      <c r="F14" s="150" t="s">
        <v>51</v>
      </c>
      <c r="G14" s="150" t="s">
        <v>51</v>
      </c>
      <c r="H14" s="151">
        <v>1453456.6833571941</v>
      </c>
      <c r="I14" s="151">
        <v>11173632.115578875</v>
      </c>
      <c r="J14" s="150" t="s">
        <v>51</v>
      </c>
      <c r="K14" s="150" t="s">
        <v>51</v>
      </c>
      <c r="L14" s="150" t="s">
        <v>51</v>
      </c>
      <c r="M14" s="150" t="s">
        <v>51</v>
      </c>
    </row>
    <row r="15" spans="1:16" s="23" customFormat="1" ht="9.75" customHeight="1" x14ac:dyDescent="0.25">
      <c r="A15" s="44">
        <v>1989</v>
      </c>
      <c r="B15" s="150" t="s">
        <v>247</v>
      </c>
      <c r="C15" s="150" t="s">
        <v>247</v>
      </c>
      <c r="D15" s="151">
        <v>3394112.0469757197</v>
      </c>
      <c r="E15" s="151">
        <v>4193001.0973597956</v>
      </c>
      <c r="F15" s="150" t="s">
        <v>51</v>
      </c>
      <c r="G15" s="150" t="s">
        <v>51</v>
      </c>
      <c r="H15" s="151">
        <v>2470876.3617072301</v>
      </c>
      <c r="I15" s="151">
        <v>2315265.6555453003</v>
      </c>
      <c r="J15" s="150" t="s">
        <v>51</v>
      </c>
      <c r="K15" s="150" t="s">
        <v>51</v>
      </c>
      <c r="L15" s="150" t="s">
        <v>51</v>
      </c>
      <c r="M15" s="150" t="s">
        <v>51</v>
      </c>
    </row>
    <row r="16" spans="1:16" s="23" customFormat="1" ht="9.75" customHeight="1" x14ac:dyDescent="0.25">
      <c r="A16" s="44">
        <v>1990</v>
      </c>
      <c r="B16" s="150" t="s">
        <v>247</v>
      </c>
      <c r="C16" s="150" t="s">
        <v>247</v>
      </c>
      <c r="D16" s="151">
        <v>4063864.8866667147</v>
      </c>
      <c r="E16" s="151">
        <v>3934453.0380878318</v>
      </c>
      <c r="F16" s="150" t="s">
        <v>51</v>
      </c>
      <c r="G16" s="150" t="s">
        <v>51</v>
      </c>
      <c r="H16" s="151">
        <v>3488296.0400572661</v>
      </c>
      <c r="I16" s="151">
        <v>2399431.6984368074</v>
      </c>
      <c r="J16" s="150" t="s">
        <v>51</v>
      </c>
      <c r="K16" s="150" t="s">
        <v>51</v>
      </c>
      <c r="L16" s="150" t="s">
        <v>51</v>
      </c>
      <c r="M16" s="150" t="s">
        <v>51</v>
      </c>
    </row>
    <row r="17" spans="1:14" s="23" customFormat="1" ht="9.75" customHeight="1" x14ac:dyDescent="0.25">
      <c r="A17" s="44">
        <v>1991</v>
      </c>
      <c r="B17" s="150" t="s">
        <v>247</v>
      </c>
      <c r="C17" s="150" t="s">
        <v>247</v>
      </c>
      <c r="D17" s="151">
        <v>5530184.6616716199</v>
      </c>
      <c r="E17" s="151">
        <v>4940125.8475469286</v>
      </c>
      <c r="F17" s="150" t="s">
        <v>51</v>
      </c>
      <c r="G17" s="150" t="s">
        <v>51</v>
      </c>
      <c r="H17" s="151">
        <v>3488296.0400572661</v>
      </c>
      <c r="I17" s="151">
        <v>2754998.8008982362</v>
      </c>
      <c r="J17" s="150" t="s">
        <v>51</v>
      </c>
      <c r="K17" s="150" t="s">
        <v>51</v>
      </c>
      <c r="L17" s="150" t="s">
        <v>51</v>
      </c>
      <c r="M17" s="150" t="s">
        <v>51</v>
      </c>
    </row>
    <row r="18" spans="1:14" s="23" customFormat="1" ht="9.75" customHeight="1" x14ac:dyDescent="0.25">
      <c r="A18" s="44">
        <v>1992</v>
      </c>
      <c r="B18" s="150" t="s">
        <v>247</v>
      </c>
      <c r="C18" s="150" t="s">
        <v>247</v>
      </c>
      <c r="D18" s="151">
        <v>6967217.2845068779</v>
      </c>
      <c r="E18" s="151">
        <v>4704989.5242109541</v>
      </c>
      <c r="F18" s="151">
        <v>2645291.1637100936</v>
      </c>
      <c r="G18" s="151">
        <v>3682913.8899587942</v>
      </c>
      <c r="H18" s="151">
        <v>3488296.0400572661</v>
      </c>
      <c r="I18" s="151">
        <v>3134732.5276338449</v>
      </c>
      <c r="J18" s="150" t="s">
        <v>51</v>
      </c>
      <c r="K18" s="150" t="s">
        <v>51</v>
      </c>
      <c r="L18" s="150" t="s">
        <v>51</v>
      </c>
      <c r="M18" s="150" t="s">
        <v>51</v>
      </c>
      <c r="N18" s="154"/>
    </row>
    <row r="19" spans="1:14" s="23" customFormat="1" ht="9.75" customHeight="1" x14ac:dyDescent="0.25">
      <c r="A19" s="44">
        <v>1993</v>
      </c>
      <c r="B19" s="150" t="s">
        <v>247</v>
      </c>
      <c r="C19" s="150" t="s">
        <v>247</v>
      </c>
      <c r="D19" s="151">
        <v>7198752.9341656789</v>
      </c>
      <c r="E19" s="151">
        <v>5508267.3444619663</v>
      </c>
      <c r="F19" s="151">
        <v>5777490.316344847</v>
      </c>
      <c r="G19" s="151">
        <v>4801457.8170534065</v>
      </c>
      <c r="H19" s="151">
        <v>3488296.0400572661</v>
      </c>
      <c r="I19" s="151">
        <v>3322093.2683153707</v>
      </c>
      <c r="J19" s="150" t="s">
        <v>51</v>
      </c>
      <c r="K19" s="150" t="s">
        <v>51</v>
      </c>
      <c r="L19" s="150" t="s">
        <v>51</v>
      </c>
      <c r="M19" s="150" t="s">
        <v>51</v>
      </c>
      <c r="N19" s="155"/>
    </row>
    <row r="20" spans="1:14" s="23" customFormat="1" ht="9.75" customHeight="1" x14ac:dyDescent="0.25">
      <c r="A20" s="44">
        <v>1994</v>
      </c>
      <c r="B20" s="150" t="s">
        <v>247</v>
      </c>
      <c r="C20" s="150" t="s">
        <v>247</v>
      </c>
      <c r="D20" s="151">
        <v>7124190.6063094549</v>
      </c>
      <c r="E20" s="151">
        <v>7006909.4794444889</v>
      </c>
      <c r="F20" s="151">
        <v>6177190.9042680748</v>
      </c>
      <c r="G20" s="151">
        <v>6896720.5656853411</v>
      </c>
      <c r="H20" s="151">
        <v>4360370.0500715822</v>
      </c>
      <c r="I20" s="151">
        <v>3736167.3073988212</v>
      </c>
      <c r="J20" s="150" t="s">
        <v>51</v>
      </c>
      <c r="K20" s="150" t="s">
        <v>51</v>
      </c>
      <c r="L20" s="150" t="s">
        <v>51</v>
      </c>
      <c r="M20" s="150" t="s">
        <v>51</v>
      </c>
    </row>
    <row r="21" spans="1:14" s="23" customFormat="1" ht="9.75" customHeight="1" x14ac:dyDescent="0.25">
      <c r="A21" s="44">
        <v>1995</v>
      </c>
      <c r="B21" s="150" t="s">
        <v>247</v>
      </c>
      <c r="C21" s="150" t="s">
        <v>247</v>
      </c>
      <c r="D21" s="151">
        <v>7532539.2614986589</v>
      </c>
      <c r="E21" s="151">
        <v>5185784.2583373906</v>
      </c>
      <c r="F21" s="151">
        <v>2383668.9607057986</v>
      </c>
      <c r="G21" s="151">
        <v>2899936.7746342737</v>
      </c>
      <c r="H21" s="151">
        <v>4360370.0500715822</v>
      </c>
      <c r="I21" s="151">
        <v>4024482.2423929707</v>
      </c>
      <c r="J21" s="150" t="s">
        <v>51</v>
      </c>
      <c r="K21" s="150" t="s">
        <v>51</v>
      </c>
      <c r="L21" s="150" t="s">
        <v>51</v>
      </c>
      <c r="M21" s="150" t="s">
        <v>51</v>
      </c>
    </row>
    <row r="22" spans="1:14" s="23" customFormat="1" ht="9.75" customHeight="1" x14ac:dyDescent="0.25">
      <c r="A22" s="44">
        <v>1996</v>
      </c>
      <c r="B22" s="150" t="s">
        <v>247</v>
      </c>
      <c r="C22" s="150" t="s">
        <v>247</v>
      </c>
      <c r="D22" s="151">
        <v>7630647.5876252698</v>
      </c>
      <c r="E22" s="151">
        <v>6112305.3145643612</v>
      </c>
      <c r="F22" s="151">
        <v>5072563.8249166077</v>
      </c>
      <c r="G22" s="151">
        <v>5534036.3218825171</v>
      </c>
      <c r="H22" s="151">
        <v>4360370.0500715822</v>
      </c>
      <c r="I22" s="151">
        <v>6076250.0090841036</v>
      </c>
      <c r="J22" s="150" t="s">
        <v>51</v>
      </c>
      <c r="K22" s="150" t="s">
        <v>51</v>
      </c>
      <c r="L22" s="150" t="s">
        <v>51</v>
      </c>
      <c r="M22" s="150" t="s">
        <v>51</v>
      </c>
    </row>
    <row r="23" spans="1:14" s="23" customFormat="1" ht="9.75" customHeight="1" x14ac:dyDescent="0.25">
      <c r="A23" s="44">
        <v>1997</v>
      </c>
      <c r="B23" s="150" t="s">
        <v>247</v>
      </c>
      <c r="C23" s="150" t="s">
        <v>247</v>
      </c>
      <c r="D23" s="151">
        <v>7485301.9192895498</v>
      </c>
      <c r="E23" s="151">
        <v>8749861.1222139038</v>
      </c>
      <c r="F23" s="151">
        <v>4796407.0550787412</v>
      </c>
      <c r="G23" s="151">
        <v>5097243.5194000127</v>
      </c>
      <c r="H23" s="151">
        <v>4360370.0500715822</v>
      </c>
      <c r="I23" s="151">
        <v>3696726.0888207378</v>
      </c>
      <c r="J23" s="150" t="s">
        <v>51</v>
      </c>
      <c r="K23" s="150" t="s">
        <v>51</v>
      </c>
      <c r="L23" s="150" t="s">
        <v>51</v>
      </c>
      <c r="M23" s="150" t="s">
        <v>51</v>
      </c>
      <c r="N23" s="44"/>
    </row>
    <row r="24" spans="1:14" s="23" customFormat="1" ht="9.75" customHeight="1" x14ac:dyDescent="0.25">
      <c r="A24" s="44" t="s">
        <v>249</v>
      </c>
      <c r="B24" s="150" t="s">
        <v>247</v>
      </c>
      <c r="C24" s="150" t="s">
        <v>247</v>
      </c>
      <c r="D24" s="151">
        <v>12354381.80853615</v>
      </c>
      <c r="E24" s="151">
        <v>7585731.488412316</v>
      </c>
      <c r="F24" s="151">
        <v>5087098.3917501792</v>
      </c>
      <c r="G24" s="151">
        <v>4054758.9805454821</v>
      </c>
      <c r="H24" s="151">
        <v>4360370.0500715822</v>
      </c>
      <c r="I24" s="151">
        <v>3606287.653612203</v>
      </c>
      <c r="J24" s="150" t="s">
        <v>51</v>
      </c>
      <c r="K24" s="150" t="s">
        <v>51</v>
      </c>
      <c r="L24" s="150" t="s">
        <v>51</v>
      </c>
      <c r="M24" s="150" t="s">
        <v>51</v>
      </c>
    </row>
    <row r="25" spans="1:14" s="23" customFormat="1" ht="9.75" customHeight="1" x14ac:dyDescent="0.25">
      <c r="A25" s="44" t="s">
        <v>250</v>
      </c>
      <c r="B25" s="150" t="s">
        <v>247</v>
      </c>
      <c r="C25" s="150" t="s">
        <v>247</v>
      </c>
      <c r="D25" s="151">
        <v>12281708.974368291</v>
      </c>
      <c r="E25" s="151">
        <v>10535516.415339781</v>
      </c>
      <c r="F25" s="151">
        <v>5595808.2309251977</v>
      </c>
      <c r="G25" s="151">
        <v>6542951.6071597273</v>
      </c>
      <c r="H25" s="151">
        <v>4360370.0500715822</v>
      </c>
      <c r="I25" s="151">
        <v>6790062.0626003789</v>
      </c>
      <c r="J25" s="150" t="s">
        <v>51</v>
      </c>
      <c r="K25" s="150" t="s">
        <v>51</v>
      </c>
      <c r="L25" s="150" t="s">
        <v>51</v>
      </c>
      <c r="M25" s="150" t="s">
        <v>51</v>
      </c>
    </row>
    <row r="26" spans="1:14" s="23" customFormat="1" ht="9.75" customHeight="1" x14ac:dyDescent="0.25">
      <c r="A26" s="44">
        <v>2000</v>
      </c>
      <c r="B26" s="150" t="s">
        <v>247</v>
      </c>
      <c r="C26" s="150" t="s">
        <v>247</v>
      </c>
      <c r="D26" s="151">
        <v>7691692.7683262713</v>
      </c>
      <c r="E26" s="151">
        <v>8009255.1703087855</v>
      </c>
      <c r="F26" s="151">
        <v>7994011.7584645683</v>
      </c>
      <c r="G26" s="151">
        <v>7863590.0380078917</v>
      </c>
      <c r="H26" s="151">
        <v>4360370.0500715822</v>
      </c>
      <c r="I26" s="151">
        <v>6842343.5535562448</v>
      </c>
      <c r="J26" s="150" t="s">
        <v>51</v>
      </c>
      <c r="K26" s="150" t="s">
        <v>51</v>
      </c>
      <c r="L26" s="150" t="s">
        <v>51</v>
      </c>
      <c r="M26" s="150" t="s">
        <v>51</v>
      </c>
    </row>
    <row r="27" spans="1:14" s="23" customFormat="1" ht="9.75" customHeight="1" x14ac:dyDescent="0.25">
      <c r="A27" s="44">
        <v>2001</v>
      </c>
      <c r="B27" s="150" t="s">
        <v>247</v>
      </c>
      <c r="C27" s="150" t="s">
        <v>247</v>
      </c>
      <c r="D27" s="151">
        <v>8418421.1100048684</v>
      </c>
      <c r="E27" s="151">
        <v>11227306.308728734</v>
      </c>
      <c r="F27" s="151">
        <v>7994011.7599999998</v>
      </c>
      <c r="G27" s="151">
        <v>10384826</v>
      </c>
      <c r="H27" s="151">
        <v>4360370</v>
      </c>
      <c r="I27" s="151">
        <v>4580000</v>
      </c>
      <c r="J27" s="150" t="s">
        <v>51</v>
      </c>
      <c r="K27" s="150" t="s">
        <v>51</v>
      </c>
      <c r="L27" s="150" t="s">
        <v>51</v>
      </c>
      <c r="M27" s="150" t="s">
        <v>51</v>
      </c>
    </row>
    <row r="28" spans="1:14" s="23" customFormat="1" ht="9.75" customHeight="1" x14ac:dyDescent="0.25">
      <c r="A28" s="44" t="s">
        <v>251</v>
      </c>
      <c r="B28" s="151">
        <v>26438067</v>
      </c>
      <c r="C28" s="151">
        <v>32330000</v>
      </c>
      <c r="D28" s="151">
        <v>9641425</v>
      </c>
      <c r="E28" s="151">
        <v>9723803.1500000004</v>
      </c>
      <c r="F28" s="151">
        <v>7995000</v>
      </c>
      <c r="G28" s="151">
        <v>9015000</v>
      </c>
      <c r="H28" s="151">
        <v>4360370</v>
      </c>
      <c r="I28" s="151">
        <v>4890000</v>
      </c>
      <c r="J28" s="150" t="s">
        <v>51</v>
      </c>
      <c r="K28" s="150" t="s">
        <v>51</v>
      </c>
      <c r="L28" s="150" t="s">
        <v>51</v>
      </c>
      <c r="M28" s="150" t="s">
        <v>51</v>
      </c>
    </row>
    <row r="29" spans="1:14" s="23" customFormat="1" ht="9.75" customHeight="1" x14ac:dyDescent="0.25">
      <c r="A29" s="44">
        <v>2003</v>
      </c>
      <c r="B29" s="151">
        <v>26970821</v>
      </c>
      <c r="C29" s="151">
        <v>31150000</v>
      </c>
      <c r="D29" s="151">
        <v>9600000</v>
      </c>
      <c r="E29" s="151">
        <v>10220000</v>
      </c>
      <c r="F29" s="151">
        <v>8000000</v>
      </c>
      <c r="G29" s="151">
        <v>9010000</v>
      </c>
      <c r="H29" s="151">
        <v>4360000</v>
      </c>
      <c r="I29" s="151">
        <v>5020000</v>
      </c>
      <c r="J29" s="150" t="s">
        <v>51</v>
      </c>
      <c r="K29" s="150" t="s">
        <v>51</v>
      </c>
      <c r="L29" s="150" t="s">
        <v>51</v>
      </c>
      <c r="M29" s="150" t="s">
        <v>51</v>
      </c>
    </row>
    <row r="30" spans="1:14" s="23" customFormat="1" ht="9.75" customHeight="1" x14ac:dyDescent="0.25">
      <c r="A30" s="44">
        <v>2004</v>
      </c>
      <c r="B30" s="151">
        <v>37369502</v>
      </c>
      <c r="C30" s="151">
        <v>38305615</v>
      </c>
      <c r="D30" s="151">
        <v>9600000</v>
      </c>
      <c r="E30" s="151">
        <v>9899461</v>
      </c>
      <c r="F30" s="151">
        <v>7995000</v>
      </c>
      <c r="G30" s="151">
        <v>9166163</v>
      </c>
      <c r="H30" s="151">
        <v>5960370</v>
      </c>
      <c r="I30" s="151">
        <v>5429553</v>
      </c>
      <c r="J30" s="151">
        <v>7500000</v>
      </c>
      <c r="K30" s="151">
        <v>7214518</v>
      </c>
      <c r="L30" s="150" t="s">
        <v>51</v>
      </c>
      <c r="M30" s="150" t="s">
        <v>51</v>
      </c>
    </row>
    <row r="31" spans="1:14" s="23" customFormat="1" ht="9.75" customHeight="1" x14ac:dyDescent="0.25">
      <c r="A31" s="44">
        <v>2005</v>
      </c>
      <c r="B31" s="151">
        <v>36629333</v>
      </c>
      <c r="C31" s="151">
        <v>37149927</v>
      </c>
      <c r="D31" s="151">
        <v>9600000</v>
      </c>
      <c r="E31" s="151">
        <v>9723328</v>
      </c>
      <c r="F31" s="151">
        <v>7995000</v>
      </c>
      <c r="G31" s="151">
        <v>7983984</v>
      </c>
      <c r="H31" s="151">
        <v>5960370</v>
      </c>
      <c r="I31" s="151">
        <v>6202989</v>
      </c>
      <c r="J31" s="151">
        <v>7500000</v>
      </c>
      <c r="K31" s="156">
        <v>7447088</v>
      </c>
      <c r="L31" s="150" t="s">
        <v>51</v>
      </c>
      <c r="M31" s="150" t="s">
        <v>51</v>
      </c>
    </row>
    <row r="32" spans="1:14" s="23" customFormat="1" ht="9.75" customHeight="1" x14ac:dyDescent="0.25">
      <c r="A32" s="44">
        <v>2006</v>
      </c>
      <c r="B32" s="151">
        <v>37628926</v>
      </c>
      <c r="C32" s="151">
        <v>35382632</v>
      </c>
      <c r="D32" s="157">
        <v>9600000</v>
      </c>
      <c r="E32" s="157">
        <v>8684354</v>
      </c>
      <c r="F32" s="157">
        <v>7995000</v>
      </c>
      <c r="G32" s="158">
        <v>7558066</v>
      </c>
      <c r="H32" s="157">
        <v>5960370</v>
      </c>
      <c r="I32" s="159">
        <v>6093432</v>
      </c>
      <c r="J32" s="157">
        <v>7500000</v>
      </c>
      <c r="K32" s="158">
        <v>7213902</v>
      </c>
      <c r="L32" s="150" t="s">
        <v>51</v>
      </c>
      <c r="M32" s="150" t="s">
        <v>51</v>
      </c>
    </row>
    <row r="33" spans="1:14" s="23" customFormat="1" ht="9.75" customHeight="1" x14ac:dyDescent="0.25">
      <c r="A33" s="50">
        <v>2007</v>
      </c>
      <c r="B33" s="151">
        <v>39740029</v>
      </c>
      <c r="C33" s="151">
        <v>38586093</v>
      </c>
      <c r="D33" s="158">
        <v>12176000</v>
      </c>
      <c r="E33" s="158">
        <v>11888203</v>
      </c>
      <c r="F33" s="158">
        <v>7995000</v>
      </c>
      <c r="G33" s="158">
        <v>7402980</v>
      </c>
      <c r="H33" s="158">
        <v>5960370</v>
      </c>
      <c r="I33" s="159">
        <v>6856377</v>
      </c>
      <c r="J33" s="158">
        <v>7500000</v>
      </c>
      <c r="K33" s="158">
        <v>6954487</v>
      </c>
      <c r="L33" s="150" t="s">
        <v>51</v>
      </c>
      <c r="M33" s="150" t="s">
        <v>51</v>
      </c>
    </row>
    <row r="34" spans="1:14" s="23" customFormat="1" ht="9.75" customHeight="1" x14ac:dyDescent="0.25">
      <c r="A34" s="50">
        <v>2008</v>
      </c>
      <c r="B34" s="151">
        <v>42710406</v>
      </c>
      <c r="C34" s="151">
        <v>42351122</v>
      </c>
      <c r="D34" s="158">
        <v>15626825</v>
      </c>
      <c r="E34" s="158">
        <v>15794842</v>
      </c>
      <c r="F34" s="158">
        <v>8000000</v>
      </c>
      <c r="G34" s="158">
        <v>8057771</v>
      </c>
      <c r="H34" s="158">
        <v>5960370</v>
      </c>
      <c r="I34" s="159">
        <v>6656500</v>
      </c>
      <c r="J34" s="158">
        <v>7500000</v>
      </c>
      <c r="K34" s="158">
        <v>7190009</v>
      </c>
      <c r="L34" s="150" t="s">
        <v>51</v>
      </c>
      <c r="M34" s="150" t="s">
        <v>51</v>
      </c>
    </row>
    <row r="35" spans="1:14" s="23" customFormat="1" ht="9.75" customHeight="1" x14ac:dyDescent="0.25">
      <c r="A35" s="50">
        <v>2009</v>
      </c>
      <c r="B35" s="156">
        <v>60412097</v>
      </c>
      <c r="C35" s="156">
        <v>51954335</v>
      </c>
      <c r="D35" s="158">
        <v>15570000</v>
      </c>
      <c r="E35" s="158">
        <v>15810821</v>
      </c>
      <c r="F35" s="158">
        <v>10000000</v>
      </c>
      <c r="G35" s="158">
        <v>11881827</v>
      </c>
      <c r="H35" s="158">
        <v>5960370</v>
      </c>
      <c r="I35" s="159">
        <v>6478000</v>
      </c>
      <c r="J35" s="158">
        <v>13500000</v>
      </c>
      <c r="K35" s="158">
        <v>11495368</v>
      </c>
      <c r="L35" s="150" t="s">
        <v>51</v>
      </c>
      <c r="M35" s="150" t="s">
        <v>51</v>
      </c>
      <c r="N35" s="29"/>
    </row>
    <row r="36" spans="1:14" s="23" customFormat="1" ht="9.75" customHeight="1" x14ac:dyDescent="0.25">
      <c r="A36" s="50">
        <v>2010</v>
      </c>
      <c r="B36" s="156">
        <v>69640362</v>
      </c>
      <c r="C36" s="156">
        <v>60027172</v>
      </c>
      <c r="D36" s="158">
        <v>16570000</v>
      </c>
      <c r="E36" s="158">
        <v>17179396</v>
      </c>
      <c r="F36" s="158">
        <v>11500000</v>
      </c>
      <c r="G36" s="158">
        <v>12309478</v>
      </c>
      <c r="H36" s="158">
        <v>8000000</v>
      </c>
      <c r="I36" s="159">
        <v>8178750</v>
      </c>
      <c r="J36" s="158">
        <v>13500000</v>
      </c>
      <c r="K36" s="158">
        <v>13982523</v>
      </c>
      <c r="L36" s="158">
        <v>5000000</v>
      </c>
      <c r="M36" s="156">
        <v>2440128</v>
      </c>
      <c r="N36" s="29"/>
    </row>
    <row r="37" spans="1:14" s="23" customFormat="1" ht="9.75" customHeight="1" x14ac:dyDescent="0.25">
      <c r="A37" s="50">
        <v>2011</v>
      </c>
      <c r="B37" s="156">
        <v>66982506</v>
      </c>
      <c r="C37" s="156">
        <v>60732886</v>
      </c>
      <c r="D37" s="158">
        <v>15400206</v>
      </c>
      <c r="E37" s="158">
        <v>15458603</v>
      </c>
      <c r="F37" s="158">
        <v>8887140</v>
      </c>
      <c r="G37" s="158">
        <v>11855447</v>
      </c>
      <c r="H37" s="158">
        <v>7408593</v>
      </c>
      <c r="I37" s="159">
        <v>8022810</v>
      </c>
      <c r="J37" s="158">
        <v>10362853</v>
      </c>
      <c r="K37" s="158">
        <v>12233384</v>
      </c>
      <c r="L37" s="158">
        <v>5005342</v>
      </c>
      <c r="M37" s="156">
        <v>7272474</v>
      </c>
      <c r="N37" s="29"/>
    </row>
    <row r="38" spans="1:14" s="23" customFormat="1" ht="9.75" customHeight="1" x14ac:dyDescent="0.25">
      <c r="A38" s="50" t="s">
        <v>252</v>
      </c>
      <c r="B38" s="156">
        <v>67873161</v>
      </c>
      <c r="C38" s="150" t="s">
        <v>247</v>
      </c>
      <c r="D38" s="158">
        <v>13578036</v>
      </c>
      <c r="E38" s="158">
        <v>10613700</v>
      </c>
      <c r="F38" s="158">
        <v>8212429</v>
      </c>
      <c r="G38" s="158">
        <v>8245792</v>
      </c>
      <c r="H38" s="158">
        <v>6549998</v>
      </c>
      <c r="I38" s="159">
        <v>7881624</v>
      </c>
      <c r="J38" s="158">
        <v>14488038</v>
      </c>
      <c r="K38" s="158">
        <v>15772088</v>
      </c>
      <c r="L38" s="158">
        <v>5545285</v>
      </c>
      <c r="M38" s="156">
        <v>5387406</v>
      </c>
      <c r="N38" s="29"/>
    </row>
    <row r="39" spans="1:14" s="23" customFormat="1" ht="9.75" customHeight="1" x14ac:dyDescent="0.4">
      <c r="A39" s="50">
        <v>2013</v>
      </c>
      <c r="B39" s="156">
        <v>77459799</v>
      </c>
      <c r="C39" s="156">
        <v>57327482</v>
      </c>
      <c r="D39" s="158">
        <v>16366423</v>
      </c>
      <c r="E39" s="158">
        <v>13685618</v>
      </c>
      <c r="F39" s="158">
        <v>10323409</v>
      </c>
      <c r="G39" s="158">
        <v>9069508</v>
      </c>
      <c r="H39" s="158">
        <v>7746957</v>
      </c>
      <c r="I39" s="159">
        <v>7683310</v>
      </c>
      <c r="J39" s="158">
        <v>16499820</v>
      </c>
      <c r="K39" s="158">
        <v>13147986</v>
      </c>
      <c r="L39" s="158">
        <v>7417506</v>
      </c>
      <c r="M39" s="156">
        <v>8828700</v>
      </c>
      <c r="N39" s="29"/>
    </row>
    <row r="40" spans="1:14" s="23" customFormat="1" ht="9.75" customHeight="1" x14ac:dyDescent="0.4">
      <c r="A40" s="50">
        <v>2014</v>
      </c>
      <c r="B40" s="156">
        <v>77234804</v>
      </c>
      <c r="C40" s="156">
        <v>58094095</v>
      </c>
      <c r="D40" s="158">
        <v>18955259</v>
      </c>
      <c r="E40" s="158">
        <v>14494967</v>
      </c>
      <c r="F40" s="158">
        <v>9929121</v>
      </c>
      <c r="G40" s="158">
        <v>9355420</v>
      </c>
      <c r="H40" s="158">
        <v>7110201</v>
      </c>
      <c r="I40" s="159">
        <v>8834745</v>
      </c>
      <c r="J40" s="158">
        <v>14138679</v>
      </c>
      <c r="K40" s="158">
        <v>13371263</v>
      </c>
      <c r="L40" s="158">
        <v>7681296</v>
      </c>
      <c r="M40" s="156">
        <v>6947200</v>
      </c>
      <c r="N40" s="29"/>
    </row>
    <row r="41" spans="1:14" s="23" customFormat="1" ht="9.75" customHeight="1" x14ac:dyDescent="0.4">
      <c r="A41" s="50">
        <v>2015</v>
      </c>
      <c r="B41" s="156">
        <v>81728756</v>
      </c>
      <c r="C41" s="156">
        <v>55587076</v>
      </c>
      <c r="D41" s="158">
        <v>21779905</v>
      </c>
      <c r="E41" s="158">
        <v>13421429</v>
      </c>
      <c r="F41" s="158">
        <v>10788339</v>
      </c>
      <c r="G41" s="158">
        <v>10366938</v>
      </c>
      <c r="H41" s="158">
        <v>8541994</v>
      </c>
      <c r="I41" s="159">
        <v>8000000</v>
      </c>
      <c r="J41" s="158">
        <v>12865147</v>
      </c>
      <c r="K41" s="158">
        <v>12996669</v>
      </c>
      <c r="L41" s="158">
        <v>8271444</v>
      </c>
      <c r="M41" s="156">
        <v>7454000</v>
      </c>
      <c r="N41" s="160"/>
    </row>
    <row r="42" spans="1:14" s="23" customFormat="1" ht="9.75" customHeight="1" x14ac:dyDescent="0.4">
      <c r="A42" s="50">
        <v>2016</v>
      </c>
      <c r="B42" s="156">
        <v>72587288</v>
      </c>
      <c r="C42" s="156">
        <v>59677321</v>
      </c>
      <c r="D42" s="158">
        <v>18708041</v>
      </c>
      <c r="E42" s="158">
        <v>19068312</v>
      </c>
      <c r="F42" s="158">
        <v>10406356</v>
      </c>
      <c r="G42" s="158">
        <v>10520868</v>
      </c>
      <c r="H42" s="158">
        <v>8509627</v>
      </c>
      <c r="I42" s="159">
        <v>8000000</v>
      </c>
      <c r="J42" s="158">
        <v>12252138</v>
      </c>
      <c r="K42" s="158">
        <v>12829291</v>
      </c>
      <c r="L42" s="158">
        <v>4635154</v>
      </c>
      <c r="M42" s="156">
        <v>6984900</v>
      </c>
      <c r="N42" s="160"/>
    </row>
    <row r="43" spans="1:14" s="23" customFormat="1" ht="9.75" customHeight="1" x14ac:dyDescent="0.4">
      <c r="A43" s="50">
        <v>2017</v>
      </c>
      <c r="B43" s="156">
        <v>74701357</v>
      </c>
      <c r="C43" s="156">
        <v>60676757</v>
      </c>
      <c r="D43" s="158">
        <v>19406826</v>
      </c>
      <c r="E43" s="158">
        <v>19301098</v>
      </c>
      <c r="F43" s="158">
        <v>9702070</v>
      </c>
      <c r="G43" s="158">
        <v>9243922</v>
      </c>
      <c r="H43" s="158">
        <v>9097573</v>
      </c>
      <c r="I43" s="159">
        <v>8000000</v>
      </c>
      <c r="J43" s="158">
        <v>12344980</v>
      </c>
      <c r="K43" s="158">
        <v>12999252</v>
      </c>
      <c r="L43" s="158">
        <v>5453324</v>
      </c>
      <c r="M43" s="156">
        <v>7065000</v>
      </c>
      <c r="N43" s="160"/>
    </row>
    <row r="44" spans="1:14" s="23" customFormat="1" ht="9.75" customHeight="1" x14ac:dyDescent="0.4">
      <c r="A44" s="50">
        <v>2018</v>
      </c>
      <c r="B44" s="156">
        <v>74796254</v>
      </c>
      <c r="C44" s="156">
        <v>60773326</v>
      </c>
      <c r="D44" s="158">
        <v>18211770</v>
      </c>
      <c r="E44" s="158">
        <v>18717597</v>
      </c>
      <c r="F44" s="158">
        <v>8877996</v>
      </c>
      <c r="G44" s="158">
        <v>10888822</v>
      </c>
      <c r="H44" s="158">
        <v>7661420</v>
      </c>
      <c r="I44" s="159">
        <v>8000000</v>
      </c>
      <c r="J44" s="158">
        <v>14253293</v>
      </c>
      <c r="K44" s="158">
        <v>12964397</v>
      </c>
      <c r="L44" s="158">
        <v>5625993</v>
      </c>
      <c r="M44" s="156">
        <v>7971800</v>
      </c>
      <c r="N44" s="160"/>
    </row>
    <row r="45" spans="1:14" s="23" customFormat="1" ht="9.75" customHeight="1" x14ac:dyDescent="0.4">
      <c r="A45" s="50">
        <v>2019</v>
      </c>
      <c r="B45" s="156">
        <v>72721983</v>
      </c>
      <c r="C45" s="156">
        <v>61922921</v>
      </c>
      <c r="D45" s="158">
        <v>17437751</v>
      </c>
      <c r="E45" s="158">
        <v>17037061</v>
      </c>
      <c r="F45" s="158">
        <v>9884620</v>
      </c>
      <c r="G45" s="158">
        <v>13409804</v>
      </c>
      <c r="H45" s="158">
        <v>8232581</v>
      </c>
      <c r="I45" s="159">
        <v>8000000</v>
      </c>
      <c r="J45" s="158">
        <v>10653557</v>
      </c>
      <c r="K45" s="158">
        <v>12919306</v>
      </c>
      <c r="L45" s="158">
        <v>7169786</v>
      </c>
      <c r="M45" s="156">
        <v>7390000</v>
      </c>
      <c r="N45" s="160"/>
    </row>
    <row r="46" spans="1:14" s="23" customFormat="1" ht="9.75" customHeight="1" x14ac:dyDescent="0.4">
      <c r="A46" s="57"/>
      <c r="B46" s="161"/>
      <c r="C46" s="57"/>
      <c r="D46" s="151"/>
      <c r="E46" s="151"/>
      <c r="F46" s="151"/>
      <c r="G46" s="151"/>
      <c r="H46" s="151"/>
      <c r="I46" s="151"/>
      <c r="J46" s="162"/>
    </row>
    <row r="47" spans="1:14" s="23" customFormat="1" ht="58.5" customHeight="1" x14ac:dyDescent="0.4">
      <c r="A47" s="166" t="s">
        <v>253</v>
      </c>
      <c r="B47" s="166"/>
      <c r="C47" s="166"/>
      <c r="D47" s="166"/>
      <c r="E47" s="166"/>
      <c r="F47" s="166"/>
      <c r="G47" s="166"/>
      <c r="H47" s="166"/>
      <c r="I47" s="166"/>
      <c r="J47" s="166"/>
      <c r="K47" s="166"/>
      <c r="L47" s="166"/>
      <c r="M47" s="166"/>
    </row>
    <row r="48" spans="1:14" ht="9" customHeight="1" x14ac:dyDescent="0.4"/>
  </sheetData>
  <mergeCells count="11">
    <mergeCell ref="A47:M47"/>
    <mergeCell ref="A1:M1"/>
    <mergeCell ref="A3:A6"/>
    <mergeCell ref="B3:C4"/>
    <mergeCell ref="D3:M3"/>
    <mergeCell ref="D4:E4"/>
    <mergeCell ref="F4:G4"/>
    <mergeCell ref="H4:I4"/>
    <mergeCell ref="J4:K4"/>
    <mergeCell ref="L4:M4"/>
    <mergeCell ref="B6:M6"/>
  </mergeCells>
  <printOptions horizontalCentered="1"/>
  <pageMargins left="0.78740157480314998" right="0.78740157480314998" top="0.78740157480314898" bottom="0.78740157480314898" header="0.511811023622047" footer="0.511811023622047"/>
  <pageSetup paperSize="0" fitToWidth="0" fitToHeight="0" orientation="portrait" horizontalDpi="0" verticalDpi="0" copies="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11</vt:i4>
      </vt:variant>
      <vt:variant>
        <vt:lpstr>Benannte Bereiche</vt:lpstr>
      </vt:variant>
      <vt:variant>
        <vt:i4>71</vt:i4>
      </vt:variant>
    </vt:vector>
  </HeadingPairs>
  <TitlesOfParts>
    <vt:vector size="82" baseType="lpstr">
      <vt:lpstr>Tabellentitel</vt:lpstr>
      <vt:lpstr>Tabelle_K1</vt:lpstr>
      <vt:lpstr>Tabelle_K2</vt:lpstr>
      <vt:lpstr>Tabelle_K3</vt:lpstr>
      <vt:lpstr>Tabelle_K4</vt:lpstr>
      <vt:lpstr>Tabelle_K5</vt:lpstr>
      <vt:lpstr>Tabelle_K6</vt:lpstr>
      <vt:lpstr>Tabelle_K7</vt:lpstr>
      <vt:lpstr>Tabelle_K8</vt:lpstr>
      <vt:lpstr>Tabelle_K9</vt:lpstr>
      <vt:lpstr>Tabelle_K10</vt:lpstr>
      <vt:lpstr>_1525976_STF_Fuss_1_CN1</vt:lpstr>
      <vt:lpstr>_1525976_STF_Fuss_1_CN2</vt:lpstr>
      <vt:lpstr>_1525976_STF_Tabellenkopf_1_CN1</vt:lpstr>
      <vt:lpstr>_1525976_STF_Titel_1_CN1</vt:lpstr>
      <vt:lpstr>_1525976_STF_Vorspalte_1_CN1</vt:lpstr>
      <vt:lpstr>_1525976_STF_Vorspalte_1_CN2</vt:lpstr>
      <vt:lpstr>_29d09c75_STF_Fuss_1_CN1</vt:lpstr>
      <vt:lpstr>_29d09c75_STF_Koerper_1_CN1</vt:lpstr>
      <vt:lpstr>_29d09c75_STF_Tabellenkopf_1_CN1</vt:lpstr>
      <vt:lpstr>_29d09c75_STF_Titel_1_CN1</vt:lpstr>
      <vt:lpstr>_29d09c75_STF_Vorspalte_1_CN1</vt:lpstr>
      <vt:lpstr>_29d09c75_STF_Vorspalte_1_CN2</vt:lpstr>
      <vt:lpstr>_63f9d6f_STF_Fuss_1_CN1</vt:lpstr>
      <vt:lpstr>_63f9d6f_STF_Tabellenkopf_1_CN1</vt:lpstr>
      <vt:lpstr>_63f9d6f_STF_Titel_1_CN1</vt:lpstr>
      <vt:lpstr>_63f9d6f_STF_Vorspalte_1_CN1</vt:lpstr>
      <vt:lpstr>_765569e0_STF_Fuss_1_CN1</vt:lpstr>
      <vt:lpstr>_765569e0_STF_Koerper_1_CN1</vt:lpstr>
      <vt:lpstr>_765569e0_STF_Tabellenkopf_1_CN1</vt:lpstr>
      <vt:lpstr>_765569e0_STF_Titel_1_CN1</vt:lpstr>
      <vt:lpstr>_765569e0_STF_Vorspalte_1_CN1</vt:lpstr>
      <vt:lpstr>_765569e0_STF_Vorspalte_1_CN2</vt:lpstr>
      <vt:lpstr>_7fe325cb_STF_Fuss_1_CN1</vt:lpstr>
      <vt:lpstr>_7fe325cb_STF_Fuss_1_CN2</vt:lpstr>
      <vt:lpstr>_7fe325cb_STF_Fuss_1_CN3</vt:lpstr>
      <vt:lpstr>_7fe325cb_STF_Tabellenkopf_1_CN1</vt:lpstr>
      <vt:lpstr>_7fe325cb_STF_Tabellenkopf_1_CN2</vt:lpstr>
      <vt:lpstr>_7fe325cb_STF_Titel_1_CN1</vt:lpstr>
      <vt:lpstr>_7fe325cb_STF_Titel_1_CN2</vt:lpstr>
      <vt:lpstr>_7fe325cb_STF_Vorspalte_1_CN1</vt:lpstr>
      <vt:lpstr>_8e4155d_STF_Fuss_1_CN1</vt:lpstr>
      <vt:lpstr>_8e4155d_STF_Tabellenkopf_1_CN1</vt:lpstr>
      <vt:lpstr>_8e4155d_STF_Titel_1_CN1</vt:lpstr>
      <vt:lpstr>_8e4155d_STF_Vorspalte_1_CN1</vt:lpstr>
      <vt:lpstr>_985b08cc_STF_Dekoration_1_CN1</vt:lpstr>
      <vt:lpstr>_985b08cc_STF_Fuss_1_CN1</vt:lpstr>
      <vt:lpstr>_985b08cc_STF_Fuss_1_CN2</vt:lpstr>
      <vt:lpstr>_985b08cc_STF_Gesamtsumme_1_CN1</vt:lpstr>
      <vt:lpstr>_985b08cc_STF_Gesamtsumme_1_CN2</vt:lpstr>
      <vt:lpstr>_985b08cc_STF_Koerper_1_CN1</vt:lpstr>
      <vt:lpstr>_985b08cc_STF_Tabellenkopf_1_CN1</vt:lpstr>
      <vt:lpstr>_985b08cc_STF_Tabellenkopf_1_CN2</vt:lpstr>
      <vt:lpstr>_985b08cc_STF_Titel_1_CN3</vt:lpstr>
      <vt:lpstr>_985b08cc_STF_Titel_1_CN4</vt:lpstr>
      <vt:lpstr>_985b08cc_STF_Titel_1_CN5</vt:lpstr>
      <vt:lpstr>_985b08cc_STF_Vorspalte_1_CN1</vt:lpstr>
      <vt:lpstr>_985b08cc_STF_Vorspalte_1_CN2</vt:lpstr>
      <vt:lpstr>_985b08cc_STF_Zwischensumme_1_CN3</vt:lpstr>
      <vt:lpstr>_985b08cc_STF_Zwischensumme_1_CN4</vt:lpstr>
      <vt:lpstr>_985b08cc_STF_Zwischensumme_1_CN5</vt:lpstr>
      <vt:lpstr>_985b08cc_STF_Zwischensumme_1_CN6</vt:lpstr>
      <vt:lpstr>_985b08cc_STF_Zwischensumme_1_CN7</vt:lpstr>
      <vt:lpstr>_985b08cc_STF_Zwischensumme_1_CN8</vt:lpstr>
      <vt:lpstr>_9f36ccd5_STF_Fuss_1_CN1</vt:lpstr>
      <vt:lpstr>_9f36ccd5_STF_Koerper_1_CN1</vt:lpstr>
      <vt:lpstr>_9f36ccd5_STF_Tabellenkopf_1_CN1</vt:lpstr>
      <vt:lpstr>_9f36ccd5_STF_Titel_1_CN1</vt:lpstr>
      <vt:lpstr>_9f36ccd5_STF_Vorspalte_1_CN1</vt:lpstr>
      <vt:lpstr>_9f36ccd5_STF_Vorspalte_1_CN2</vt:lpstr>
      <vt:lpstr>_e831fc43_STF_Fuss_1_CN1</vt:lpstr>
      <vt:lpstr>_e831fc43_STF_Koerper_1_CN1</vt:lpstr>
      <vt:lpstr>_e831fc43_STF_Tabellenkopf_1_CN1</vt:lpstr>
      <vt:lpstr>_e831fc43_STF_Titel_1_CN1</vt:lpstr>
      <vt:lpstr>_e831fc43_STF_Vorspalte_1_CN1</vt:lpstr>
      <vt:lpstr>_e831fc43_STF_Vorspalte_1_CN2</vt:lpstr>
      <vt:lpstr>_ef5c385a_STF_Fuss_1_CN1</vt:lpstr>
      <vt:lpstr>_ef5c385a_STF_Gesamtsumme_1_CN1</vt:lpstr>
      <vt:lpstr>_ef5c385a_STF_Tabellenkopf_1_CN1</vt:lpstr>
      <vt:lpstr>_ef5c385a_STF_Titel_1_CN1</vt:lpstr>
      <vt:lpstr>_ef5c385a_STF_Vorspalte_1_CN1</vt:lpstr>
      <vt:lpstr>_ef5c385a_STF_Vorspalte_1_CN2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HAJDIN Andrea</dc:creator>
  <cp:lastModifiedBy>julz mary</cp:lastModifiedBy>
  <dcterms:created xsi:type="dcterms:W3CDTF">2018-07-11T07:34:26Z</dcterms:created>
  <dcterms:modified xsi:type="dcterms:W3CDTF">2024-04-21T13:26:22Z</dcterms:modified>
</cp:coreProperties>
</file>